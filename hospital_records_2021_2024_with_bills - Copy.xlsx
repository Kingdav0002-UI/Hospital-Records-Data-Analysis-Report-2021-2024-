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arch\Desktop\Worked projects\"/>
    </mc:Choice>
  </mc:AlternateContent>
  <xr:revisionPtr revIDLastSave="0" documentId="13_ncr:1_{3F0466B8-7D39-4F7B-9DBE-4E6DF68AB0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definedNames>
    <definedName name="_xlnm._FilterDatabase" localSheetId="0" hidden="1">Sheet1!$A$1:$M$1001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2" l="1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 s="1"/>
  <c r="L123" i="2"/>
  <c r="M123" i="2" s="1"/>
  <c r="L124" i="2"/>
  <c r="M124" i="2" s="1"/>
  <c r="L125" i="2"/>
  <c r="M125" i="2" s="1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 s="1"/>
  <c r="L145" i="2"/>
  <c r="M145" i="2" s="1"/>
  <c r="L146" i="2"/>
  <c r="M146" i="2" s="1"/>
  <c r="L147" i="2"/>
  <c r="M147" i="2" s="1"/>
  <c r="L148" i="2"/>
  <c r="M148" i="2" s="1"/>
  <c r="L149" i="2"/>
  <c r="M149" i="2" s="1"/>
  <c r="L150" i="2"/>
  <c r="M150" i="2" s="1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 s="1"/>
  <c r="L157" i="2"/>
  <c r="M157" i="2" s="1"/>
  <c r="L158" i="2"/>
  <c r="M158" i="2" s="1"/>
  <c r="L159" i="2"/>
  <c r="M159" i="2" s="1"/>
  <c r="L160" i="2"/>
  <c r="M160" i="2" s="1"/>
  <c r="L161" i="2"/>
  <c r="M161" i="2" s="1"/>
  <c r="L162" i="2"/>
  <c r="M162" i="2" s="1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 s="1"/>
  <c r="L169" i="2"/>
  <c r="M169" i="2" s="1"/>
  <c r="L170" i="2"/>
  <c r="M170" i="2" s="1"/>
  <c r="L171" i="2"/>
  <c r="M171" i="2" s="1"/>
  <c r="L172" i="2"/>
  <c r="M172" i="2" s="1"/>
  <c r="L173" i="2"/>
  <c r="M173" i="2" s="1"/>
  <c r="L174" i="2"/>
  <c r="M174" i="2" s="1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 s="1"/>
  <c r="L183" i="2"/>
  <c r="M183" i="2" s="1"/>
  <c r="L184" i="2"/>
  <c r="M184" i="2" s="1"/>
  <c r="L185" i="2"/>
  <c r="M185" i="2" s="1"/>
  <c r="L186" i="2"/>
  <c r="M186" i="2" s="1"/>
  <c r="L187" i="2"/>
  <c r="M187" i="2" s="1"/>
  <c r="L188" i="2"/>
  <c r="M188" i="2" s="1"/>
  <c r="L189" i="2"/>
  <c r="M189" i="2" s="1"/>
  <c r="L190" i="2"/>
  <c r="M190" i="2" s="1"/>
  <c r="L191" i="2"/>
  <c r="M191" i="2" s="1"/>
  <c r="L192" i="2"/>
  <c r="M192" i="2" s="1"/>
  <c r="L193" i="2"/>
  <c r="M193" i="2" s="1"/>
  <c r="L194" i="2"/>
  <c r="M194" i="2" s="1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 s="1"/>
  <c r="L203" i="2"/>
  <c r="M203" i="2" s="1"/>
  <c r="L204" i="2"/>
  <c r="M204" i="2" s="1"/>
  <c r="L205" i="2"/>
  <c r="M205" i="2" s="1"/>
  <c r="L206" i="2"/>
  <c r="M206" i="2" s="1"/>
  <c r="L207" i="2"/>
  <c r="M207" i="2" s="1"/>
  <c r="L208" i="2"/>
  <c r="M208" i="2" s="1"/>
  <c r="L209" i="2"/>
  <c r="M209" i="2" s="1"/>
  <c r="L210" i="2"/>
  <c r="M210" i="2" s="1"/>
  <c r="L211" i="2"/>
  <c r="M211" i="2" s="1"/>
  <c r="L212" i="2"/>
  <c r="M212" i="2" s="1"/>
  <c r="L213" i="2"/>
  <c r="M213" i="2" s="1"/>
  <c r="L214" i="2"/>
  <c r="M214" i="2" s="1"/>
  <c r="L215" i="2"/>
  <c r="M215" i="2" s="1"/>
  <c r="L216" i="2"/>
  <c r="M216" i="2" s="1"/>
  <c r="L217" i="2"/>
  <c r="M217" i="2" s="1"/>
  <c r="L218" i="2"/>
  <c r="M218" i="2" s="1"/>
  <c r="L219" i="2"/>
  <c r="M219" i="2" s="1"/>
  <c r="L220" i="2"/>
  <c r="M220" i="2" s="1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 s="1"/>
  <c r="L227" i="2"/>
  <c r="M227" i="2" s="1"/>
  <c r="L228" i="2"/>
  <c r="M228" i="2" s="1"/>
  <c r="L229" i="2"/>
  <c r="M229" i="2" s="1"/>
  <c r="L230" i="2"/>
  <c r="M230" i="2" s="1"/>
  <c r="L231" i="2"/>
  <c r="M231" i="2" s="1"/>
  <c r="L232" i="2"/>
  <c r="M232" i="2" s="1"/>
  <c r="L233" i="2"/>
  <c r="M233" i="2" s="1"/>
  <c r="L234" i="2"/>
  <c r="M234" i="2" s="1"/>
  <c r="L235" i="2"/>
  <c r="M235" i="2" s="1"/>
  <c r="L236" i="2"/>
  <c r="M236" i="2" s="1"/>
  <c r="L237" i="2"/>
  <c r="M237" i="2" s="1"/>
  <c r="L238" i="2"/>
  <c r="M238" i="2" s="1"/>
  <c r="L239" i="2"/>
  <c r="M239" i="2" s="1"/>
  <c r="L240" i="2"/>
  <c r="M240" i="2" s="1"/>
  <c r="L241" i="2"/>
  <c r="M241" i="2" s="1"/>
  <c r="L242" i="2"/>
  <c r="M242" i="2" s="1"/>
  <c r="L243" i="2"/>
  <c r="M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 s="1"/>
  <c r="L255" i="2"/>
  <c r="M255" i="2" s="1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 s="1"/>
  <c r="L265" i="2"/>
  <c r="M265" i="2" s="1"/>
  <c r="L266" i="2"/>
  <c r="M266" i="2" s="1"/>
  <c r="L267" i="2"/>
  <c r="M267" i="2" s="1"/>
  <c r="L268" i="2"/>
  <c r="M268" i="2" s="1"/>
  <c r="L269" i="2"/>
  <c r="M269" i="2" s="1"/>
  <c r="L270" i="2"/>
  <c r="M270" i="2" s="1"/>
  <c r="L271" i="2"/>
  <c r="M271" i="2" s="1"/>
  <c r="L272" i="2"/>
  <c r="M272" i="2" s="1"/>
  <c r="L273" i="2"/>
  <c r="M273" i="2" s="1"/>
  <c r="L274" i="2"/>
  <c r="M274" i="2" s="1"/>
  <c r="L275" i="2"/>
  <c r="M275" i="2" s="1"/>
  <c r="L276" i="2"/>
  <c r="M276" i="2" s="1"/>
  <c r="L277" i="2"/>
  <c r="M277" i="2" s="1"/>
  <c r="L278" i="2"/>
  <c r="M278" i="2" s="1"/>
  <c r="L279" i="2"/>
  <c r="M279" i="2" s="1"/>
  <c r="L280" i="2"/>
  <c r="M280" i="2" s="1"/>
  <c r="L281" i="2"/>
  <c r="M281" i="2" s="1"/>
  <c r="L282" i="2"/>
  <c r="M282" i="2" s="1"/>
  <c r="L283" i="2"/>
  <c r="M283" i="2" s="1"/>
  <c r="L284" i="2"/>
  <c r="M284" i="2" s="1"/>
  <c r="L285" i="2"/>
  <c r="M285" i="2" s="1"/>
  <c r="L286" i="2"/>
  <c r="M286" i="2" s="1"/>
  <c r="L287" i="2"/>
  <c r="M287" i="2" s="1"/>
  <c r="L288" i="2"/>
  <c r="M288" i="2" s="1"/>
  <c r="L289" i="2"/>
  <c r="M289" i="2" s="1"/>
  <c r="L290" i="2"/>
  <c r="M290" i="2" s="1"/>
  <c r="L291" i="2"/>
  <c r="M291" i="2" s="1"/>
  <c r="L292" i="2"/>
  <c r="M292" i="2" s="1"/>
  <c r="L293" i="2"/>
  <c r="M293" i="2" s="1"/>
  <c r="L294" i="2"/>
  <c r="M294" i="2" s="1"/>
  <c r="L295" i="2"/>
  <c r="M295" i="2" s="1"/>
  <c r="L296" i="2"/>
  <c r="M296" i="2" s="1"/>
  <c r="L297" i="2"/>
  <c r="M297" i="2" s="1"/>
  <c r="L298" i="2"/>
  <c r="M298" i="2" s="1"/>
  <c r="L299" i="2"/>
  <c r="M299" i="2" s="1"/>
  <c r="L300" i="2"/>
  <c r="M300" i="2" s="1"/>
  <c r="L301" i="2"/>
  <c r="M301" i="2" s="1"/>
  <c r="L302" i="2"/>
  <c r="M302" i="2" s="1"/>
  <c r="L303" i="2"/>
  <c r="M303" i="2" s="1"/>
  <c r="L304" i="2"/>
  <c r="M304" i="2" s="1"/>
  <c r="L305" i="2"/>
  <c r="M305" i="2" s="1"/>
  <c r="L306" i="2"/>
  <c r="M306" i="2" s="1"/>
  <c r="L307" i="2"/>
  <c r="M307" i="2" s="1"/>
  <c r="L308" i="2"/>
  <c r="M308" i="2" s="1"/>
  <c r="L309" i="2"/>
  <c r="M309" i="2" s="1"/>
  <c r="L310" i="2"/>
  <c r="M310" i="2" s="1"/>
  <c r="L311" i="2"/>
  <c r="M311" i="2" s="1"/>
  <c r="L312" i="2"/>
  <c r="M312" i="2" s="1"/>
  <c r="L313" i="2"/>
  <c r="M313" i="2" s="1"/>
  <c r="L314" i="2"/>
  <c r="M314" i="2" s="1"/>
  <c r="L315" i="2"/>
  <c r="M315" i="2" s="1"/>
  <c r="L316" i="2"/>
  <c r="M316" i="2" s="1"/>
  <c r="L317" i="2"/>
  <c r="M317" i="2" s="1"/>
  <c r="L318" i="2"/>
  <c r="M318" i="2" s="1"/>
  <c r="L319" i="2"/>
  <c r="M319" i="2" s="1"/>
  <c r="L320" i="2"/>
  <c r="M320" i="2" s="1"/>
  <c r="L321" i="2"/>
  <c r="M321" i="2" s="1"/>
  <c r="L322" i="2"/>
  <c r="M322" i="2" s="1"/>
  <c r="L323" i="2"/>
  <c r="M323" i="2" s="1"/>
  <c r="L324" i="2"/>
  <c r="M324" i="2" s="1"/>
  <c r="L325" i="2"/>
  <c r="M325" i="2" s="1"/>
  <c r="L326" i="2"/>
  <c r="M326" i="2" s="1"/>
  <c r="L327" i="2"/>
  <c r="M327" i="2" s="1"/>
  <c r="L328" i="2"/>
  <c r="M328" i="2" s="1"/>
  <c r="L329" i="2"/>
  <c r="M329" i="2" s="1"/>
  <c r="L330" i="2"/>
  <c r="M330" i="2" s="1"/>
  <c r="L331" i="2"/>
  <c r="M331" i="2" s="1"/>
  <c r="L332" i="2"/>
  <c r="M332" i="2" s="1"/>
  <c r="L333" i="2"/>
  <c r="M333" i="2" s="1"/>
  <c r="L334" i="2"/>
  <c r="M334" i="2" s="1"/>
  <c r="L335" i="2"/>
  <c r="M335" i="2" s="1"/>
  <c r="L336" i="2"/>
  <c r="M336" i="2" s="1"/>
  <c r="L337" i="2"/>
  <c r="M337" i="2" s="1"/>
  <c r="L338" i="2"/>
  <c r="M338" i="2" s="1"/>
  <c r="L339" i="2"/>
  <c r="M339" i="2" s="1"/>
  <c r="L340" i="2"/>
  <c r="M340" i="2" s="1"/>
  <c r="L341" i="2"/>
  <c r="M341" i="2" s="1"/>
  <c r="L342" i="2"/>
  <c r="M342" i="2" s="1"/>
  <c r="L343" i="2"/>
  <c r="M343" i="2" s="1"/>
  <c r="L344" i="2"/>
  <c r="M344" i="2" s="1"/>
  <c r="L345" i="2"/>
  <c r="M345" i="2" s="1"/>
  <c r="L346" i="2"/>
  <c r="M346" i="2" s="1"/>
  <c r="L347" i="2"/>
  <c r="M347" i="2" s="1"/>
  <c r="L348" i="2"/>
  <c r="M348" i="2" s="1"/>
  <c r="L349" i="2"/>
  <c r="M349" i="2" s="1"/>
  <c r="L350" i="2"/>
  <c r="M350" i="2" s="1"/>
  <c r="L351" i="2"/>
  <c r="M351" i="2" s="1"/>
  <c r="L352" i="2"/>
  <c r="M352" i="2" s="1"/>
  <c r="L353" i="2"/>
  <c r="M353" i="2" s="1"/>
  <c r="L354" i="2"/>
  <c r="M354" i="2" s="1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 s="1"/>
  <c r="L362" i="2"/>
  <c r="M362" i="2" s="1"/>
  <c r="L363" i="2"/>
  <c r="M363" i="2" s="1"/>
  <c r="L364" i="2"/>
  <c r="M364" i="2" s="1"/>
  <c r="L365" i="2"/>
  <c r="M365" i="2" s="1"/>
  <c r="L366" i="2"/>
  <c r="M366" i="2" s="1"/>
  <c r="L367" i="2"/>
  <c r="M367" i="2" s="1"/>
  <c r="L368" i="2"/>
  <c r="M368" i="2" s="1"/>
  <c r="L369" i="2"/>
  <c r="M369" i="2" s="1"/>
  <c r="L370" i="2"/>
  <c r="M370" i="2" s="1"/>
  <c r="L371" i="2"/>
  <c r="M371" i="2" s="1"/>
  <c r="L372" i="2"/>
  <c r="M372" i="2" s="1"/>
  <c r="L373" i="2"/>
  <c r="M373" i="2" s="1"/>
  <c r="L374" i="2"/>
  <c r="M374" i="2" s="1"/>
  <c r="L375" i="2"/>
  <c r="M375" i="2" s="1"/>
  <c r="L376" i="2"/>
  <c r="M376" i="2" s="1"/>
  <c r="L377" i="2"/>
  <c r="M377" i="2" s="1"/>
  <c r="L378" i="2"/>
  <c r="M378" i="2" s="1"/>
  <c r="L379" i="2"/>
  <c r="M379" i="2" s="1"/>
  <c r="L380" i="2"/>
  <c r="M380" i="2" s="1"/>
  <c r="L381" i="2"/>
  <c r="M381" i="2" s="1"/>
  <c r="L382" i="2"/>
  <c r="M382" i="2" s="1"/>
  <c r="L383" i="2"/>
  <c r="M383" i="2" s="1"/>
  <c r="L384" i="2"/>
  <c r="M384" i="2" s="1"/>
  <c r="L385" i="2"/>
  <c r="M385" i="2" s="1"/>
  <c r="L386" i="2"/>
  <c r="M386" i="2" s="1"/>
  <c r="L387" i="2"/>
  <c r="M387" i="2" s="1"/>
  <c r="L388" i="2"/>
  <c r="M388" i="2" s="1"/>
  <c r="L389" i="2"/>
  <c r="M389" i="2" s="1"/>
  <c r="L390" i="2"/>
  <c r="M390" i="2" s="1"/>
  <c r="L391" i="2"/>
  <c r="M391" i="2" s="1"/>
  <c r="L392" i="2"/>
  <c r="M392" i="2" s="1"/>
  <c r="L393" i="2"/>
  <c r="M393" i="2" s="1"/>
  <c r="L394" i="2"/>
  <c r="M394" i="2" s="1"/>
  <c r="L395" i="2"/>
  <c r="M395" i="2" s="1"/>
  <c r="L396" i="2"/>
  <c r="M396" i="2" s="1"/>
  <c r="L397" i="2"/>
  <c r="M397" i="2" s="1"/>
  <c r="L398" i="2"/>
  <c r="M398" i="2" s="1"/>
  <c r="L399" i="2"/>
  <c r="M399" i="2" s="1"/>
  <c r="L400" i="2"/>
  <c r="M400" i="2" s="1"/>
  <c r="L401" i="2"/>
  <c r="M401" i="2" s="1"/>
  <c r="L402" i="2"/>
  <c r="M402" i="2" s="1"/>
  <c r="L403" i="2"/>
  <c r="M403" i="2" s="1"/>
  <c r="L404" i="2"/>
  <c r="M404" i="2" s="1"/>
  <c r="L405" i="2"/>
  <c r="M405" i="2" s="1"/>
  <c r="L406" i="2"/>
  <c r="M406" i="2" s="1"/>
  <c r="L407" i="2"/>
  <c r="M407" i="2" s="1"/>
  <c r="L408" i="2"/>
  <c r="M408" i="2" s="1"/>
  <c r="L409" i="2"/>
  <c r="M409" i="2" s="1"/>
  <c r="L410" i="2"/>
  <c r="M410" i="2" s="1"/>
  <c r="L411" i="2"/>
  <c r="M411" i="2" s="1"/>
  <c r="L412" i="2"/>
  <c r="M412" i="2" s="1"/>
  <c r="L413" i="2"/>
  <c r="M413" i="2" s="1"/>
  <c r="L414" i="2"/>
  <c r="M414" i="2" s="1"/>
  <c r="L415" i="2"/>
  <c r="M415" i="2" s="1"/>
  <c r="L416" i="2"/>
  <c r="M416" i="2" s="1"/>
  <c r="L417" i="2"/>
  <c r="M417" i="2" s="1"/>
  <c r="L418" i="2"/>
  <c r="M418" i="2" s="1"/>
  <c r="L419" i="2"/>
  <c r="M419" i="2" s="1"/>
  <c r="L420" i="2"/>
  <c r="M420" i="2" s="1"/>
  <c r="L421" i="2"/>
  <c r="M421" i="2" s="1"/>
  <c r="L422" i="2"/>
  <c r="M422" i="2" s="1"/>
  <c r="L423" i="2"/>
  <c r="M423" i="2" s="1"/>
  <c r="L424" i="2"/>
  <c r="M424" i="2" s="1"/>
  <c r="L425" i="2"/>
  <c r="M425" i="2" s="1"/>
  <c r="L426" i="2"/>
  <c r="M426" i="2" s="1"/>
  <c r="L427" i="2"/>
  <c r="M427" i="2" s="1"/>
  <c r="L428" i="2"/>
  <c r="M428" i="2" s="1"/>
  <c r="L429" i="2"/>
  <c r="M429" i="2" s="1"/>
  <c r="L430" i="2"/>
  <c r="M430" i="2" s="1"/>
  <c r="L431" i="2"/>
  <c r="M431" i="2" s="1"/>
  <c r="L432" i="2"/>
  <c r="M432" i="2" s="1"/>
  <c r="L433" i="2"/>
  <c r="M433" i="2" s="1"/>
  <c r="L434" i="2"/>
  <c r="M434" i="2" s="1"/>
  <c r="L435" i="2"/>
  <c r="M435" i="2" s="1"/>
  <c r="L436" i="2"/>
  <c r="M436" i="2" s="1"/>
  <c r="L437" i="2"/>
  <c r="M437" i="2" s="1"/>
  <c r="L438" i="2"/>
  <c r="M438" i="2" s="1"/>
  <c r="L439" i="2"/>
  <c r="M439" i="2" s="1"/>
  <c r="L440" i="2"/>
  <c r="M440" i="2" s="1"/>
  <c r="L441" i="2"/>
  <c r="M441" i="2" s="1"/>
  <c r="L442" i="2"/>
  <c r="M442" i="2" s="1"/>
  <c r="L443" i="2"/>
  <c r="M443" i="2" s="1"/>
  <c r="L444" i="2"/>
  <c r="M444" i="2" s="1"/>
  <c r="L445" i="2"/>
  <c r="M445" i="2" s="1"/>
  <c r="L446" i="2"/>
  <c r="M446" i="2" s="1"/>
  <c r="L447" i="2"/>
  <c r="M447" i="2" s="1"/>
  <c r="L448" i="2"/>
  <c r="M448" i="2" s="1"/>
  <c r="L449" i="2"/>
  <c r="M449" i="2" s="1"/>
  <c r="L450" i="2"/>
  <c r="M450" i="2" s="1"/>
  <c r="L451" i="2"/>
  <c r="M451" i="2" s="1"/>
  <c r="L452" i="2"/>
  <c r="M452" i="2" s="1"/>
  <c r="L453" i="2"/>
  <c r="M453" i="2" s="1"/>
  <c r="L454" i="2"/>
  <c r="M454" i="2" s="1"/>
  <c r="L455" i="2"/>
  <c r="M455" i="2" s="1"/>
  <c r="L456" i="2"/>
  <c r="M456" i="2" s="1"/>
  <c r="L457" i="2"/>
  <c r="M457" i="2" s="1"/>
  <c r="L458" i="2"/>
  <c r="M458" i="2" s="1"/>
  <c r="L459" i="2"/>
  <c r="M459" i="2" s="1"/>
  <c r="L460" i="2"/>
  <c r="M460" i="2" s="1"/>
  <c r="L461" i="2"/>
  <c r="M461" i="2" s="1"/>
  <c r="L462" i="2"/>
  <c r="M462" i="2" s="1"/>
  <c r="L463" i="2"/>
  <c r="M463" i="2" s="1"/>
  <c r="L464" i="2"/>
  <c r="M464" i="2" s="1"/>
  <c r="L465" i="2"/>
  <c r="M465" i="2" s="1"/>
  <c r="L466" i="2"/>
  <c r="M466" i="2" s="1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M473" i="2" s="1"/>
  <c r="L474" i="2"/>
  <c r="M474" i="2" s="1"/>
  <c r="L475" i="2"/>
  <c r="M475" i="2" s="1"/>
  <c r="L476" i="2"/>
  <c r="M476" i="2" s="1"/>
  <c r="L477" i="2"/>
  <c r="M477" i="2" s="1"/>
  <c r="L478" i="2"/>
  <c r="M478" i="2" s="1"/>
  <c r="L479" i="2"/>
  <c r="M479" i="2" s="1"/>
  <c r="L480" i="2"/>
  <c r="M480" i="2" s="1"/>
  <c r="L481" i="2"/>
  <c r="M481" i="2" s="1"/>
  <c r="L482" i="2"/>
  <c r="M482" i="2" s="1"/>
  <c r="L483" i="2"/>
  <c r="M483" i="2" s="1"/>
  <c r="L484" i="2"/>
  <c r="M484" i="2" s="1"/>
  <c r="L485" i="2"/>
  <c r="M485" i="2" s="1"/>
  <c r="L486" i="2"/>
  <c r="M486" i="2" s="1"/>
  <c r="L487" i="2"/>
  <c r="M487" i="2" s="1"/>
  <c r="L488" i="2"/>
  <c r="M488" i="2" s="1"/>
  <c r="L489" i="2"/>
  <c r="M489" i="2" s="1"/>
  <c r="L490" i="2"/>
  <c r="M490" i="2" s="1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 s="1"/>
  <c r="L497" i="2"/>
  <c r="M497" i="2" s="1"/>
  <c r="L498" i="2"/>
  <c r="M498" i="2" s="1"/>
  <c r="L499" i="2"/>
  <c r="M499" i="2" s="1"/>
  <c r="L500" i="2"/>
  <c r="M500" i="2" s="1"/>
  <c r="L501" i="2"/>
  <c r="M501" i="2" s="1"/>
  <c r="L502" i="2"/>
  <c r="M502" i="2" s="1"/>
  <c r="L503" i="2"/>
  <c r="M503" i="2" s="1"/>
  <c r="L504" i="2"/>
  <c r="M504" i="2" s="1"/>
  <c r="L505" i="2"/>
  <c r="M505" i="2" s="1"/>
  <c r="L506" i="2"/>
  <c r="M506" i="2" s="1"/>
  <c r="L507" i="2"/>
  <c r="M507" i="2" s="1"/>
  <c r="L508" i="2"/>
  <c r="M508" i="2" s="1"/>
  <c r="L509" i="2"/>
  <c r="M509" i="2" s="1"/>
  <c r="L510" i="2"/>
  <c r="M510" i="2" s="1"/>
  <c r="L511" i="2"/>
  <c r="M511" i="2" s="1"/>
  <c r="L512" i="2"/>
  <c r="M512" i="2" s="1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 s="1"/>
  <c r="L520" i="2"/>
  <c r="M520" i="2" s="1"/>
  <c r="L521" i="2"/>
  <c r="M521" i="2" s="1"/>
  <c r="L522" i="2"/>
  <c r="M522" i="2" s="1"/>
  <c r="L523" i="2"/>
  <c r="M523" i="2" s="1"/>
  <c r="L524" i="2"/>
  <c r="M524" i="2" s="1"/>
  <c r="L525" i="2"/>
  <c r="M525" i="2" s="1"/>
  <c r="L526" i="2"/>
  <c r="M526" i="2" s="1"/>
  <c r="L527" i="2"/>
  <c r="M527" i="2" s="1"/>
  <c r="L528" i="2"/>
  <c r="M528" i="2" s="1"/>
  <c r="L529" i="2"/>
  <c r="M529" i="2" s="1"/>
  <c r="L530" i="2"/>
  <c r="M530" i="2" s="1"/>
  <c r="L531" i="2"/>
  <c r="M531" i="2" s="1"/>
  <c r="L532" i="2"/>
  <c r="M532" i="2" s="1"/>
  <c r="L533" i="2"/>
  <c r="M533" i="2" s="1"/>
  <c r="L534" i="2"/>
  <c r="M534" i="2" s="1"/>
  <c r="L535" i="2"/>
  <c r="M535" i="2" s="1"/>
  <c r="L536" i="2"/>
  <c r="M536" i="2" s="1"/>
  <c r="L537" i="2"/>
  <c r="M537" i="2" s="1"/>
  <c r="L538" i="2"/>
  <c r="M538" i="2" s="1"/>
  <c r="L539" i="2"/>
  <c r="M539" i="2" s="1"/>
  <c r="L540" i="2"/>
  <c r="M540" i="2" s="1"/>
  <c r="L541" i="2"/>
  <c r="M541" i="2" s="1"/>
  <c r="L542" i="2"/>
  <c r="M542" i="2" s="1"/>
  <c r="L543" i="2"/>
  <c r="M543" i="2" s="1"/>
  <c r="L544" i="2"/>
  <c r="M544" i="2" s="1"/>
  <c r="L545" i="2"/>
  <c r="M545" i="2" s="1"/>
  <c r="L546" i="2"/>
  <c r="M546" i="2" s="1"/>
  <c r="L547" i="2"/>
  <c r="M547" i="2" s="1"/>
  <c r="L548" i="2"/>
  <c r="M548" i="2" s="1"/>
  <c r="L549" i="2"/>
  <c r="M549" i="2" s="1"/>
  <c r="L550" i="2"/>
  <c r="M550" i="2" s="1"/>
  <c r="L551" i="2"/>
  <c r="M551" i="2" s="1"/>
  <c r="L552" i="2"/>
  <c r="M552" i="2" s="1"/>
  <c r="L553" i="2"/>
  <c r="M553" i="2" s="1"/>
  <c r="L554" i="2"/>
  <c r="M554" i="2" s="1"/>
  <c r="L555" i="2"/>
  <c r="M555" i="2" s="1"/>
  <c r="L556" i="2"/>
  <c r="M556" i="2" s="1"/>
  <c r="L557" i="2"/>
  <c r="M557" i="2" s="1"/>
  <c r="L558" i="2"/>
  <c r="M558" i="2" s="1"/>
  <c r="L559" i="2"/>
  <c r="M559" i="2" s="1"/>
  <c r="L560" i="2"/>
  <c r="M560" i="2" s="1"/>
  <c r="L561" i="2"/>
  <c r="M561" i="2" s="1"/>
  <c r="L562" i="2"/>
  <c r="M562" i="2" s="1"/>
  <c r="L563" i="2"/>
  <c r="M563" i="2" s="1"/>
  <c r="L564" i="2"/>
  <c r="M564" i="2" s="1"/>
  <c r="L565" i="2"/>
  <c r="M565" i="2" s="1"/>
  <c r="L566" i="2"/>
  <c r="M566" i="2" s="1"/>
  <c r="L567" i="2"/>
  <c r="M567" i="2" s="1"/>
  <c r="L568" i="2"/>
  <c r="M568" i="2" s="1"/>
  <c r="L569" i="2"/>
  <c r="M569" i="2" s="1"/>
  <c r="L570" i="2"/>
  <c r="M570" i="2" s="1"/>
  <c r="L571" i="2"/>
  <c r="M571" i="2" s="1"/>
  <c r="L572" i="2"/>
  <c r="M572" i="2" s="1"/>
  <c r="L573" i="2"/>
  <c r="M573" i="2" s="1"/>
  <c r="L574" i="2"/>
  <c r="M574" i="2" s="1"/>
  <c r="L575" i="2"/>
  <c r="M575" i="2" s="1"/>
  <c r="L576" i="2"/>
  <c r="M576" i="2" s="1"/>
  <c r="L577" i="2"/>
  <c r="M577" i="2" s="1"/>
  <c r="L578" i="2"/>
  <c r="M578" i="2" s="1"/>
  <c r="L579" i="2"/>
  <c r="M579" i="2" s="1"/>
  <c r="L580" i="2"/>
  <c r="M580" i="2" s="1"/>
  <c r="L581" i="2"/>
  <c r="M581" i="2" s="1"/>
  <c r="L582" i="2"/>
  <c r="M582" i="2" s="1"/>
  <c r="L583" i="2"/>
  <c r="M583" i="2" s="1"/>
  <c r="L584" i="2"/>
  <c r="M584" i="2" s="1"/>
  <c r="L585" i="2"/>
  <c r="M585" i="2" s="1"/>
  <c r="L586" i="2"/>
  <c r="M586" i="2" s="1"/>
  <c r="L587" i="2"/>
  <c r="M587" i="2" s="1"/>
  <c r="L588" i="2"/>
  <c r="M588" i="2" s="1"/>
  <c r="L589" i="2"/>
  <c r="M589" i="2" s="1"/>
  <c r="L590" i="2"/>
  <c r="M590" i="2" s="1"/>
  <c r="L591" i="2"/>
  <c r="M591" i="2" s="1"/>
  <c r="L592" i="2"/>
  <c r="M592" i="2" s="1"/>
  <c r="L593" i="2"/>
  <c r="M593" i="2" s="1"/>
  <c r="L594" i="2"/>
  <c r="M594" i="2" s="1"/>
  <c r="L595" i="2"/>
  <c r="M595" i="2" s="1"/>
  <c r="L596" i="2"/>
  <c r="M596" i="2" s="1"/>
  <c r="L597" i="2"/>
  <c r="M597" i="2" s="1"/>
  <c r="L598" i="2"/>
  <c r="M598" i="2" s="1"/>
  <c r="L599" i="2"/>
  <c r="M599" i="2" s="1"/>
  <c r="L600" i="2"/>
  <c r="M600" i="2" s="1"/>
  <c r="L601" i="2"/>
  <c r="M601" i="2" s="1"/>
  <c r="L602" i="2"/>
  <c r="M602" i="2" s="1"/>
  <c r="L603" i="2"/>
  <c r="M603" i="2" s="1"/>
  <c r="L604" i="2"/>
  <c r="M604" i="2" s="1"/>
  <c r="L605" i="2"/>
  <c r="M605" i="2" s="1"/>
  <c r="L606" i="2"/>
  <c r="M606" i="2" s="1"/>
  <c r="L607" i="2"/>
  <c r="M607" i="2" s="1"/>
  <c r="L608" i="2"/>
  <c r="M608" i="2" s="1"/>
  <c r="L609" i="2"/>
  <c r="M609" i="2" s="1"/>
  <c r="L610" i="2"/>
  <c r="M610" i="2" s="1"/>
  <c r="L611" i="2"/>
  <c r="M611" i="2" s="1"/>
  <c r="L612" i="2"/>
  <c r="M612" i="2" s="1"/>
  <c r="L613" i="2"/>
  <c r="M613" i="2" s="1"/>
  <c r="L614" i="2"/>
  <c r="M614" i="2" s="1"/>
  <c r="L615" i="2"/>
  <c r="M615" i="2" s="1"/>
  <c r="L616" i="2"/>
  <c r="M616" i="2" s="1"/>
  <c r="L617" i="2"/>
  <c r="M617" i="2" s="1"/>
  <c r="L618" i="2"/>
  <c r="M618" i="2" s="1"/>
  <c r="L619" i="2"/>
  <c r="M619" i="2" s="1"/>
  <c r="L620" i="2"/>
  <c r="M620" i="2" s="1"/>
  <c r="L621" i="2"/>
  <c r="M621" i="2" s="1"/>
  <c r="L622" i="2"/>
  <c r="M622" i="2" s="1"/>
  <c r="L623" i="2"/>
  <c r="M623" i="2" s="1"/>
  <c r="L624" i="2"/>
  <c r="M624" i="2" s="1"/>
  <c r="L625" i="2"/>
  <c r="M625" i="2" s="1"/>
  <c r="L626" i="2"/>
  <c r="M626" i="2" s="1"/>
  <c r="L627" i="2"/>
  <c r="M627" i="2" s="1"/>
  <c r="L628" i="2"/>
  <c r="M628" i="2" s="1"/>
  <c r="L629" i="2"/>
  <c r="M629" i="2" s="1"/>
  <c r="L630" i="2"/>
  <c r="M630" i="2" s="1"/>
  <c r="L631" i="2"/>
  <c r="M631" i="2" s="1"/>
  <c r="L632" i="2"/>
  <c r="M632" i="2" s="1"/>
  <c r="L633" i="2"/>
  <c r="M633" i="2" s="1"/>
  <c r="L634" i="2"/>
  <c r="M634" i="2" s="1"/>
  <c r="L635" i="2"/>
  <c r="M635" i="2" s="1"/>
  <c r="L636" i="2"/>
  <c r="M636" i="2" s="1"/>
  <c r="L637" i="2"/>
  <c r="M637" i="2" s="1"/>
  <c r="L638" i="2"/>
  <c r="M638" i="2" s="1"/>
  <c r="L639" i="2"/>
  <c r="M639" i="2" s="1"/>
  <c r="L640" i="2"/>
  <c r="M640" i="2" s="1"/>
  <c r="L641" i="2"/>
  <c r="M641" i="2" s="1"/>
  <c r="L642" i="2"/>
  <c r="M642" i="2" s="1"/>
  <c r="L643" i="2"/>
  <c r="M643" i="2" s="1"/>
  <c r="L644" i="2"/>
  <c r="M644" i="2" s="1"/>
  <c r="L645" i="2"/>
  <c r="M645" i="2" s="1"/>
  <c r="L646" i="2"/>
  <c r="M646" i="2" s="1"/>
  <c r="L647" i="2"/>
  <c r="M647" i="2" s="1"/>
  <c r="L648" i="2"/>
  <c r="M648" i="2" s="1"/>
  <c r="L649" i="2"/>
  <c r="M649" i="2" s="1"/>
  <c r="L650" i="2"/>
  <c r="M650" i="2" s="1"/>
  <c r="L651" i="2"/>
  <c r="M651" i="2" s="1"/>
  <c r="L652" i="2"/>
  <c r="M652" i="2" s="1"/>
  <c r="L653" i="2"/>
  <c r="M653" i="2" s="1"/>
  <c r="L654" i="2"/>
  <c r="M654" i="2" s="1"/>
  <c r="L655" i="2"/>
  <c r="M655" i="2" s="1"/>
  <c r="L656" i="2"/>
  <c r="M656" i="2" s="1"/>
  <c r="L657" i="2"/>
  <c r="M657" i="2" s="1"/>
  <c r="L658" i="2"/>
  <c r="M658" i="2" s="1"/>
  <c r="L659" i="2"/>
  <c r="M659" i="2" s="1"/>
  <c r="L660" i="2"/>
  <c r="M660" i="2" s="1"/>
  <c r="L661" i="2"/>
  <c r="M661" i="2" s="1"/>
  <c r="L662" i="2"/>
  <c r="M662" i="2" s="1"/>
  <c r="L663" i="2"/>
  <c r="M663" i="2" s="1"/>
  <c r="L664" i="2"/>
  <c r="M664" i="2" s="1"/>
  <c r="L665" i="2"/>
  <c r="M665" i="2" s="1"/>
  <c r="L666" i="2"/>
  <c r="M666" i="2" s="1"/>
  <c r="L667" i="2"/>
  <c r="M667" i="2" s="1"/>
  <c r="L668" i="2"/>
  <c r="M668" i="2" s="1"/>
  <c r="L669" i="2"/>
  <c r="M669" i="2" s="1"/>
  <c r="L670" i="2"/>
  <c r="M670" i="2" s="1"/>
  <c r="L671" i="2"/>
  <c r="M671" i="2" s="1"/>
  <c r="L672" i="2"/>
  <c r="M672" i="2" s="1"/>
  <c r="L673" i="2"/>
  <c r="M673" i="2" s="1"/>
  <c r="L674" i="2"/>
  <c r="M674" i="2" s="1"/>
  <c r="L675" i="2"/>
  <c r="M675" i="2" s="1"/>
  <c r="L676" i="2"/>
  <c r="M676" i="2" s="1"/>
  <c r="L677" i="2"/>
  <c r="M677" i="2" s="1"/>
  <c r="L678" i="2"/>
  <c r="M678" i="2" s="1"/>
  <c r="L679" i="2"/>
  <c r="M679" i="2" s="1"/>
  <c r="L680" i="2"/>
  <c r="M680" i="2" s="1"/>
  <c r="L681" i="2"/>
  <c r="M681" i="2" s="1"/>
  <c r="L682" i="2"/>
  <c r="M682" i="2" s="1"/>
  <c r="L683" i="2"/>
  <c r="M683" i="2" s="1"/>
  <c r="L684" i="2"/>
  <c r="M684" i="2" s="1"/>
  <c r="L685" i="2"/>
  <c r="M685" i="2" s="1"/>
  <c r="L686" i="2"/>
  <c r="M686" i="2" s="1"/>
  <c r="L687" i="2"/>
  <c r="M687" i="2" s="1"/>
  <c r="L688" i="2"/>
  <c r="M688" i="2" s="1"/>
  <c r="L689" i="2"/>
  <c r="M689" i="2" s="1"/>
  <c r="L690" i="2"/>
  <c r="M690" i="2" s="1"/>
  <c r="L691" i="2"/>
  <c r="M691" i="2" s="1"/>
  <c r="L692" i="2"/>
  <c r="M692" i="2" s="1"/>
  <c r="L693" i="2"/>
  <c r="M693" i="2" s="1"/>
  <c r="L694" i="2"/>
  <c r="M694" i="2" s="1"/>
  <c r="L695" i="2"/>
  <c r="M695" i="2" s="1"/>
  <c r="L696" i="2"/>
  <c r="M696" i="2" s="1"/>
  <c r="L697" i="2"/>
  <c r="M697" i="2" s="1"/>
  <c r="L698" i="2"/>
  <c r="M698" i="2" s="1"/>
  <c r="L699" i="2"/>
  <c r="M699" i="2" s="1"/>
  <c r="L700" i="2"/>
  <c r="M700" i="2" s="1"/>
  <c r="L701" i="2"/>
  <c r="M701" i="2" s="1"/>
  <c r="L702" i="2"/>
  <c r="M702" i="2" s="1"/>
  <c r="L703" i="2"/>
  <c r="M703" i="2" s="1"/>
  <c r="L704" i="2"/>
  <c r="M704" i="2" s="1"/>
  <c r="L705" i="2"/>
  <c r="M705" i="2" s="1"/>
  <c r="L706" i="2"/>
  <c r="M706" i="2" s="1"/>
  <c r="L707" i="2"/>
  <c r="M707" i="2" s="1"/>
  <c r="L708" i="2"/>
  <c r="M708" i="2" s="1"/>
  <c r="L709" i="2"/>
  <c r="M709" i="2" s="1"/>
  <c r="L710" i="2"/>
  <c r="M710" i="2" s="1"/>
  <c r="L711" i="2"/>
  <c r="M711" i="2" s="1"/>
  <c r="L712" i="2"/>
  <c r="M712" i="2" s="1"/>
  <c r="L713" i="2"/>
  <c r="M713" i="2" s="1"/>
  <c r="L714" i="2"/>
  <c r="M714" i="2" s="1"/>
  <c r="L715" i="2"/>
  <c r="M715" i="2" s="1"/>
  <c r="L716" i="2"/>
  <c r="M716" i="2" s="1"/>
  <c r="L717" i="2"/>
  <c r="M717" i="2" s="1"/>
  <c r="L718" i="2"/>
  <c r="M718" i="2" s="1"/>
  <c r="L719" i="2"/>
  <c r="M719" i="2" s="1"/>
  <c r="L720" i="2"/>
  <c r="M720" i="2" s="1"/>
  <c r="L721" i="2"/>
  <c r="M721" i="2" s="1"/>
  <c r="L722" i="2"/>
  <c r="M722" i="2" s="1"/>
  <c r="L723" i="2"/>
  <c r="M723" i="2" s="1"/>
  <c r="L724" i="2"/>
  <c r="M724" i="2" s="1"/>
  <c r="L725" i="2"/>
  <c r="M725" i="2" s="1"/>
  <c r="L726" i="2"/>
  <c r="M726" i="2" s="1"/>
  <c r="L727" i="2"/>
  <c r="M727" i="2" s="1"/>
  <c r="L728" i="2"/>
  <c r="M728" i="2" s="1"/>
  <c r="L729" i="2"/>
  <c r="M729" i="2" s="1"/>
  <c r="L730" i="2"/>
  <c r="M730" i="2" s="1"/>
  <c r="L731" i="2"/>
  <c r="M731" i="2" s="1"/>
  <c r="L732" i="2"/>
  <c r="M732" i="2" s="1"/>
  <c r="L733" i="2"/>
  <c r="M733" i="2" s="1"/>
  <c r="L734" i="2"/>
  <c r="M734" i="2" s="1"/>
  <c r="L735" i="2"/>
  <c r="M735" i="2" s="1"/>
  <c r="L736" i="2"/>
  <c r="M736" i="2" s="1"/>
  <c r="L737" i="2"/>
  <c r="M737" i="2" s="1"/>
  <c r="L738" i="2"/>
  <c r="M738" i="2" s="1"/>
  <c r="L739" i="2"/>
  <c r="M739" i="2" s="1"/>
  <c r="L740" i="2"/>
  <c r="M740" i="2" s="1"/>
  <c r="L741" i="2"/>
  <c r="M741" i="2" s="1"/>
  <c r="L742" i="2"/>
  <c r="M742" i="2" s="1"/>
  <c r="L743" i="2"/>
  <c r="M743" i="2" s="1"/>
  <c r="L744" i="2"/>
  <c r="M744" i="2" s="1"/>
  <c r="L745" i="2"/>
  <c r="M745" i="2" s="1"/>
  <c r="L746" i="2"/>
  <c r="M746" i="2" s="1"/>
  <c r="L747" i="2"/>
  <c r="M747" i="2" s="1"/>
  <c r="L748" i="2"/>
  <c r="M748" i="2" s="1"/>
  <c r="L749" i="2"/>
  <c r="M749" i="2" s="1"/>
  <c r="L750" i="2"/>
  <c r="M750" i="2" s="1"/>
  <c r="L751" i="2"/>
  <c r="M751" i="2" s="1"/>
  <c r="L752" i="2"/>
  <c r="M752" i="2" s="1"/>
  <c r="L753" i="2"/>
  <c r="M753" i="2" s="1"/>
  <c r="L754" i="2"/>
  <c r="M754" i="2" s="1"/>
  <c r="L755" i="2"/>
  <c r="M755" i="2" s="1"/>
  <c r="L756" i="2"/>
  <c r="M756" i="2" s="1"/>
  <c r="L757" i="2"/>
  <c r="M757" i="2" s="1"/>
  <c r="L758" i="2"/>
  <c r="M758" i="2" s="1"/>
  <c r="L759" i="2"/>
  <c r="M759" i="2" s="1"/>
  <c r="L760" i="2"/>
  <c r="M760" i="2" s="1"/>
  <c r="L761" i="2"/>
  <c r="M761" i="2" s="1"/>
  <c r="L762" i="2"/>
  <c r="M762" i="2" s="1"/>
  <c r="L763" i="2"/>
  <c r="M763" i="2" s="1"/>
  <c r="L764" i="2"/>
  <c r="M764" i="2" s="1"/>
  <c r="L765" i="2"/>
  <c r="M765" i="2" s="1"/>
  <c r="L766" i="2"/>
  <c r="M766" i="2" s="1"/>
  <c r="L767" i="2"/>
  <c r="M767" i="2" s="1"/>
  <c r="L768" i="2"/>
  <c r="M768" i="2" s="1"/>
  <c r="L769" i="2"/>
  <c r="M769" i="2" s="1"/>
  <c r="L770" i="2"/>
  <c r="M770" i="2" s="1"/>
  <c r="L771" i="2"/>
  <c r="M771" i="2" s="1"/>
  <c r="L772" i="2"/>
  <c r="M772" i="2" s="1"/>
  <c r="L773" i="2"/>
  <c r="M773" i="2" s="1"/>
  <c r="L774" i="2"/>
  <c r="M774" i="2" s="1"/>
  <c r="L775" i="2"/>
  <c r="M775" i="2" s="1"/>
  <c r="L776" i="2"/>
  <c r="M776" i="2" s="1"/>
  <c r="L777" i="2"/>
  <c r="M777" i="2" s="1"/>
  <c r="L778" i="2"/>
  <c r="M778" i="2" s="1"/>
  <c r="L779" i="2"/>
  <c r="M779" i="2" s="1"/>
  <c r="L780" i="2"/>
  <c r="M780" i="2" s="1"/>
  <c r="L781" i="2"/>
  <c r="M781" i="2" s="1"/>
  <c r="L782" i="2"/>
  <c r="M782" i="2" s="1"/>
  <c r="L783" i="2"/>
  <c r="M783" i="2" s="1"/>
  <c r="L784" i="2"/>
  <c r="M784" i="2" s="1"/>
  <c r="L785" i="2"/>
  <c r="M785" i="2" s="1"/>
  <c r="L786" i="2"/>
  <c r="M786" i="2" s="1"/>
  <c r="L787" i="2"/>
  <c r="M787" i="2" s="1"/>
  <c r="L788" i="2"/>
  <c r="M788" i="2" s="1"/>
  <c r="L789" i="2"/>
  <c r="M789" i="2" s="1"/>
  <c r="L790" i="2"/>
  <c r="M790" i="2" s="1"/>
  <c r="L791" i="2"/>
  <c r="M791" i="2" s="1"/>
  <c r="L792" i="2"/>
  <c r="M792" i="2" s="1"/>
  <c r="L793" i="2"/>
  <c r="M793" i="2" s="1"/>
  <c r="L794" i="2"/>
  <c r="M794" i="2" s="1"/>
  <c r="L795" i="2"/>
  <c r="M795" i="2" s="1"/>
  <c r="L796" i="2"/>
  <c r="M796" i="2" s="1"/>
  <c r="L797" i="2"/>
  <c r="M797" i="2" s="1"/>
  <c r="L798" i="2"/>
  <c r="M798" i="2" s="1"/>
  <c r="L799" i="2"/>
  <c r="M799" i="2" s="1"/>
  <c r="L800" i="2"/>
  <c r="M800" i="2" s="1"/>
  <c r="L801" i="2"/>
  <c r="M801" i="2" s="1"/>
  <c r="L802" i="2"/>
  <c r="M802" i="2" s="1"/>
  <c r="L803" i="2"/>
  <c r="M803" i="2" s="1"/>
  <c r="L804" i="2"/>
  <c r="M804" i="2" s="1"/>
  <c r="L805" i="2"/>
  <c r="M805" i="2" s="1"/>
  <c r="L806" i="2"/>
  <c r="M806" i="2" s="1"/>
  <c r="L807" i="2"/>
  <c r="M807" i="2" s="1"/>
  <c r="L808" i="2"/>
  <c r="M808" i="2" s="1"/>
  <c r="L809" i="2"/>
  <c r="M809" i="2" s="1"/>
  <c r="L810" i="2"/>
  <c r="M810" i="2" s="1"/>
  <c r="L811" i="2"/>
  <c r="M811" i="2" s="1"/>
  <c r="L812" i="2"/>
  <c r="M812" i="2" s="1"/>
  <c r="L813" i="2"/>
  <c r="M813" i="2" s="1"/>
  <c r="L814" i="2"/>
  <c r="M814" i="2" s="1"/>
  <c r="L815" i="2"/>
  <c r="M815" i="2" s="1"/>
  <c r="L816" i="2"/>
  <c r="M816" i="2" s="1"/>
  <c r="L817" i="2"/>
  <c r="M817" i="2" s="1"/>
  <c r="L818" i="2"/>
  <c r="M818" i="2" s="1"/>
  <c r="L819" i="2"/>
  <c r="M819" i="2" s="1"/>
  <c r="L820" i="2"/>
  <c r="M820" i="2" s="1"/>
  <c r="L821" i="2"/>
  <c r="M821" i="2" s="1"/>
  <c r="L822" i="2"/>
  <c r="M822" i="2" s="1"/>
  <c r="L823" i="2"/>
  <c r="M823" i="2" s="1"/>
  <c r="L824" i="2"/>
  <c r="M824" i="2" s="1"/>
  <c r="L825" i="2"/>
  <c r="M825" i="2" s="1"/>
  <c r="L826" i="2"/>
  <c r="M826" i="2" s="1"/>
  <c r="L827" i="2"/>
  <c r="M827" i="2" s="1"/>
  <c r="L828" i="2"/>
  <c r="M828" i="2" s="1"/>
  <c r="L829" i="2"/>
  <c r="M829" i="2" s="1"/>
  <c r="L830" i="2"/>
  <c r="M830" i="2" s="1"/>
  <c r="L831" i="2"/>
  <c r="M831" i="2" s="1"/>
  <c r="L832" i="2"/>
  <c r="M832" i="2" s="1"/>
  <c r="L833" i="2"/>
  <c r="M833" i="2" s="1"/>
  <c r="L834" i="2"/>
  <c r="M834" i="2" s="1"/>
  <c r="L835" i="2"/>
  <c r="M835" i="2" s="1"/>
  <c r="L836" i="2"/>
  <c r="M836" i="2" s="1"/>
  <c r="L837" i="2"/>
  <c r="M837" i="2" s="1"/>
  <c r="L838" i="2"/>
  <c r="M838" i="2" s="1"/>
  <c r="L839" i="2"/>
  <c r="M839" i="2" s="1"/>
  <c r="L840" i="2"/>
  <c r="M840" i="2" s="1"/>
  <c r="L841" i="2"/>
  <c r="M841" i="2" s="1"/>
  <c r="L842" i="2"/>
  <c r="M842" i="2" s="1"/>
  <c r="L843" i="2"/>
  <c r="M843" i="2" s="1"/>
  <c r="L844" i="2"/>
  <c r="M844" i="2" s="1"/>
  <c r="L845" i="2"/>
  <c r="M845" i="2" s="1"/>
  <c r="L846" i="2"/>
  <c r="M846" i="2" s="1"/>
  <c r="L847" i="2"/>
  <c r="M847" i="2" s="1"/>
  <c r="L848" i="2"/>
  <c r="M848" i="2" s="1"/>
  <c r="L849" i="2"/>
  <c r="M849" i="2" s="1"/>
  <c r="L850" i="2"/>
  <c r="M850" i="2" s="1"/>
  <c r="L851" i="2"/>
  <c r="M851" i="2" s="1"/>
  <c r="L852" i="2"/>
  <c r="M852" i="2" s="1"/>
  <c r="L853" i="2"/>
  <c r="M853" i="2" s="1"/>
  <c r="L854" i="2"/>
  <c r="M854" i="2" s="1"/>
  <c r="L855" i="2"/>
  <c r="M855" i="2" s="1"/>
  <c r="L856" i="2"/>
  <c r="M856" i="2" s="1"/>
  <c r="L857" i="2"/>
  <c r="M857" i="2" s="1"/>
  <c r="L858" i="2"/>
  <c r="M858" i="2" s="1"/>
  <c r="L859" i="2"/>
  <c r="M859" i="2" s="1"/>
  <c r="L860" i="2"/>
  <c r="M860" i="2" s="1"/>
  <c r="L861" i="2"/>
  <c r="M861" i="2" s="1"/>
  <c r="L862" i="2"/>
  <c r="M862" i="2" s="1"/>
  <c r="L863" i="2"/>
  <c r="M863" i="2" s="1"/>
  <c r="L864" i="2"/>
  <c r="M864" i="2" s="1"/>
  <c r="L865" i="2"/>
  <c r="M865" i="2" s="1"/>
  <c r="L866" i="2"/>
  <c r="M866" i="2" s="1"/>
  <c r="L867" i="2"/>
  <c r="M867" i="2" s="1"/>
  <c r="L868" i="2"/>
  <c r="M868" i="2" s="1"/>
  <c r="L869" i="2"/>
  <c r="M869" i="2" s="1"/>
  <c r="L870" i="2"/>
  <c r="M870" i="2" s="1"/>
  <c r="L871" i="2"/>
  <c r="M871" i="2" s="1"/>
  <c r="L872" i="2"/>
  <c r="M872" i="2" s="1"/>
  <c r="L873" i="2"/>
  <c r="M873" i="2" s="1"/>
  <c r="L874" i="2"/>
  <c r="M874" i="2" s="1"/>
  <c r="L875" i="2"/>
  <c r="M875" i="2" s="1"/>
  <c r="L876" i="2"/>
  <c r="M876" i="2" s="1"/>
  <c r="L877" i="2"/>
  <c r="M877" i="2" s="1"/>
  <c r="L878" i="2"/>
  <c r="M878" i="2" s="1"/>
  <c r="L879" i="2"/>
  <c r="M879" i="2" s="1"/>
  <c r="L880" i="2"/>
  <c r="M880" i="2" s="1"/>
  <c r="L881" i="2"/>
  <c r="M881" i="2" s="1"/>
  <c r="L882" i="2"/>
  <c r="M882" i="2" s="1"/>
  <c r="L883" i="2"/>
  <c r="M883" i="2" s="1"/>
  <c r="L884" i="2"/>
  <c r="M884" i="2" s="1"/>
  <c r="L885" i="2"/>
  <c r="M885" i="2" s="1"/>
  <c r="L886" i="2"/>
  <c r="M886" i="2" s="1"/>
  <c r="L887" i="2"/>
  <c r="M887" i="2" s="1"/>
  <c r="L888" i="2"/>
  <c r="M888" i="2" s="1"/>
  <c r="L889" i="2"/>
  <c r="M889" i="2" s="1"/>
  <c r="L890" i="2"/>
  <c r="M890" i="2" s="1"/>
  <c r="L891" i="2"/>
  <c r="M891" i="2" s="1"/>
  <c r="L892" i="2"/>
  <c r="M892" i="2" s="1"/>
  <c r="L893" i="2"/>
  <c r="M893" i="2" s="1"/>
  <c r="L894" i="2"/>
  <c r="M894" i="2" s="1"/>
  <c r="L895" i="2"/>
  <c r="M895" i="2" s="1"/>
  <c r="L896" i="2"/>
  <c r="M896" i="2" s="1"/>
  <c r="L897" i="2"/>
  <c r="M897" i="2" s="1"/>
  <c r="L898" i="2"/>
  <c r="M898" i="2" s="1"/>
  <c r="L899" i="2"/>
  <c r="M899" i="2" s="1"/>
  <c r="L900" i="2"/>
  <c r="M900" i="2" s="1"/>
  <c r="L901" i="2"/>
  <c r="M901" i="2" s="1"/>
  <c r="L902" i="2"/>
  <c r="M902" i="2" s="1"/>
  <c r="L903" i="2"/>
  <c r="M903" i="2" s="1"/>
  <c r="L904" i="2"/>
  <c r="M904" i="2" s="1"/>
  <c r="L905" i="2"/>
  <c r="M905" i="2" s="1"/>
  <c r="L906" i="2"/>
  <c r="M906" i="2" s="1"/>
  <c r="L907" i="2"/>
  <c r="M907" i="2" s="1"/>
  <c r="L908" i="2"/>
  <c r="M908" i="2" s="1"/>
  <c r="L909" i="2"/>
  <c r="M909" i="2" s="1"/>
  <c r="L910" i="2"/>
  <c r="M910" i="2" s="1"/>
  <c r="L911" i="2"/>
  <c r="M911" i="2" s="1"/>
  <c r="L912" i="2"/>
  <c r="M912" i="2" s="1"/>
  <c r="L913" i="2"/>
  <c r="M913" i="2" s="1"/>
  <c r="L914" i="2"/>
  <c r="M914" i="2" s="1"/>
  <c r="L915" i="2"/>
  <c r="M915" i="2" s="1"/>
  <c r="L916" i="2"/>
  <c r="M916" i="2" s="1"/>
  <c r="L917" i="2"/>
  <c r="M917" i="2" s="1"/>
  <c r="L918" i="2"/>
  <c r="M918" i="2" s="1"/>
  <c r="L919" i="2"/>
  <c r="M919" i="2" s="1"/>
  <c r="L920" i="2"/>
  <c r="M920" i="2" s="1"/>
  <c r="L921" i="2"/>
  <c r="M921" i="2" s="1"/>
  <c r="L922" i="2"/>
  <c r="M922" i="2" s="1"/>
  <c r="L923" i="2"/>
  <c r="M923" i="2" s="1"/>
  <c r="L924" i="2"/>
  <c r="M924" i="2" s="1"/>
  <c r="L925" i="2"/>
  <c r="M925" i="2" s="1"/>
  <c r="L926" i="2"/>
  <c r="M926" i="2" s="1"/>
  <c r="L927" i="2"/>
  <c r="M927" i="2" s="1"/>
  <c r="L928" i="2"/>
  <c r="M928" i="2" s="1"/>
  <c r="L929" i="2"/>
  <c r="M929" i="2" s="1"/>
  <c r="L930" i="2"/>
  <c r="M930" i="2" s="1"/>
  <c r="L931" i="2"/>
  <c r="M931" i="2" s="1"/>
  <c r="L932" i="2"/>
  <c r="M932" i="2" s="1"/>
  <c r="L933" i="2"/>
  <c r="M933" i="2" s="1"/>
  <c r="L934" i="2"/>
  <c r="M934" i="2" s="1"/>
  <c r="L935" i="2"/>
  <c r="M935" i="2" s="1"/>
  <c r="L936" i="2"/>
  <c r="M936" i="2" s="1"/>
  <c r="L937" i="2"/>
  <c r="M937" i="2" s="1"/>
  <c r="L938" i="2"/>
  <c r="M938" i="2" s="1"/>
  <c r="L939" i="2"/>
  <c r="M939" i="2" s="1"/>
  <c r="L940" i="2"/>
  <c r="M940" i="2" s="1"/>
  <c r="L941" i="2"/>
  <c r="M941" i="2" s="1"/>
  <c r="L942" i="2"/>
  <c r="M942" i="2" s="1"/>
  <c r="L943" i="2"/>
  <c r="M943" i="2" s="1"/>
  <c r="L944" i="2"/>
  <c r="M944" i="2" s="1"/>
  <c r="L945" i="2"/>
  <c r="M945" i="2" s="1"/>
  <c r="L946" i="2"/>
  <c r="M946" i="2" s="1"/>
  <c r="L947" i="2"/>
  <c r="M947" i="2" s="1"/>
  <c r="L948" i="2"/>
  <c r="M948" i="2" s="1"/>
  <c r="L949" i="2"/>
  <c r="M949" i="2" s="1"/>
  <c r="L950" i="2"/>
  <c r="M950" i="2" s="1"/>
  <c r="L951" i="2"/>
  <c r="M951" i="2" s="1"/>
  <c r="L952" i="2"/>
  <c r="M952" i="2" s="1"/>
  <c r="L953" i="2"/>
  <c r="M953" i="2" s="1"/>
  <c r="L954" i="2"/>
  <c r="M954" i="2" s="1"/>
  <c r="L955" i="2"/>
  <c r="M955" i="2" s="1"/>
  <c r="L956" i="2"/>
  <c r="M956" i="2" s="1"/>
  <c r="L957" i="2"/>
  <c r="M957" i="2" s="1"/>
  <c r="L958" i="2"/>
  <c r="M958" i="2" s="1"/>
  <c r="L959" i="2"/>
  <c r="M959" i="2" s="1"/>
  <c r="L960" i="2"/>
  <c r="M960" i="2" s="1"/>
  <c r="L961" i="2"/>
  <c r="M961" i="2" s="1"/>
  <c r="L962" i="2"/>
  <c r="M962" i="2" s="1"/>
  <c r="L963" i="2"/>
  <c r="M963" i="2" s="1"/>
  <c r="L964" i="2"/>
  <c r="M964" i="2" s="1"/>
  <c r="L965" i="2"/>
  <c r="M965" i="2" s="1"/>
  <c r="L966" i="2"/>
  <c r="M966" i="2" s="1"/>
  <c r="L967" i="2"/>
  <c r="M967" i="2" s="1"/>
  <c r="L968" i="2"/>
  <c r="M968" i="2" s="1"/>
  <c r="L969" i="2"/>
  <c r="M969" i="2" s="1"/>
  <c r="L970" i="2"/>
  <c r="M970" i="2" s="1"/>
  <c r="L971" i="2"/>
  <c r="M971" i="2" s="1"/>
  <c r="L972" i="2"/>
  <c r="M972" i="2" s="1"/>
  <c r="L973" i="2"/>
  <c r="M973" i="2" s="1"/>
  <c r="L974" i="2"/>
  <c r="M974" i="2" s="1"/>
  <c r="L975" i="2"/>
  <c r="M975" i="2" s="1"/>
  <c r="L976" i="2"/>
  <c r="M976" i="2" s="1"/>
  <c r="L977" i="2"/>
  <c r="M977" i="2" s="1"/>
  <c r="L978" i="2"/>
  <c r="M978" i="2" s="1"/>
  <c r="L979" i="2"/>
  <c r="M979" i="2" s="1"/>
  <c r="L980" i="2"/>
  <c r="M980" i="2" s="1"/>
  <c r="L981" i="2"/>
  <c r="M981" i="2" s="1"/>
  <c r="L982" i="2"/>
  <c r="M982" i="2" s="1"/>
  <c r="L983" i="2"/>
  <c r="M983" i="2" s="1"/>
  <c r="L984" i="2"/>
  <c r="M984" i="2" s="1"/>
  <c r="L985" i="2"/>
  <c r="M985" i="2" s="1"/>
  <c r="L986" i="2"/>
  <c r="M986" i="2" s="1"/>
  <c r="L987" i="2"/>
  <c r="M987" i="2" s="1"/>
  <c r="L988" i="2"/>
  <c r="M988" i="2" s="1"/>
  <c r="L989" i="2"/>
  <c r="M989" i="2" s="1"/>
  <c r="L990" i="2"/>
  <c r="M990" i="2" s="1"/>
  <c r="L991" i="2"/>
  <c r="M991" i="2" s="1"/>
  <c r="L992" i="2"/>
  <c r="M992" i="2" s="1"/>
  <c r="L993" i="2"/>
  <c r="M993" i="2" s="1"/>
  <c r="L994" i="2"/>
  <c r="M994" i="2" s="1"/>
  <c r="L995" i="2"/>
  <c r="M995" i="2" s="1"/>
  <c r="L996" i="2"/>
  <c r="M996" i="2" s="1"/>
  <c r="L997" i="2"/>
  <c r="M997" i="2" s="1"/>
  <c r="L998" i="2"/>
  <c r="M998" i="2" s="1"/>
  <c r="L999" i="2"/>
  <c r="M999" i="2" s="1"/>
  <c r="L1000" i="2"/>
  <c r="M1000" i="2" s="1"/>
  <c r="L1001" i="2"/>
  <c r="M1001" i="2" s="1"/>
  <c r="L2" i="2"/>
  <c r="M2" i="2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2" i="2"/>
</calcChain>
</file>

<file path=xl/sharedStrings.xml><?xml version="1.0" encoding="utf-8"?>
<sst xmlns="http://schemas.openxmlformats.org/spreadsheetml/2006/main" count="6013" uniqueCount="2154">
  <si>
    <t>Patient ID</t>
  </si>
  <si>
    <t>Name</t>
  </si>
  <si>
    <t>Date of Birth</t>
  </si>
  <si>
    <t>Gender</t>
  </si>
  <si>
    <t>Medical Condition</t>
  </si>
  <si>
    <t>Treatments</t>
  </si>
  <si>
    <t>Doctor's Notes</t>
  </si>
  <si>
    <t>Admit Date</t>
  </si>
  <si>
    <t>Discharge Date</t>
  </si>
  <si>
    <t>921d93d1-17b8-426f-abae-5b16c7e5cd93</t>
  </si>
  <si>
    <t>Debra Griffith</t>
  </si>
  <si>
    <t>Female</t>
  </si>
  <si>
    <t>Chronic Obstructive Pulmonary Disease</t>
  </si>
  <si>
    <t>Medication</t>
  </si>
  <si>
    <t>Patient requires home oxygen therapy.</t>
  </si>
  <si>
    <t>c3e70ecd-b794-4e9e-8136-ccf4ff363fe0</t>
  </si>
  <si>
    <t>Robert Ross</t>
  </si>
  <si>
    <t>Migraine</t>
  </si>
  <si>
    <t>Pain Relief Medication</t>
  </si>
  <si>
    <t>Follow-up to assess effectiveness of treatment.</t>
  </si>
  <si>
    <t>ef85177f-f933-4f60-aefe-6979e35c709a</t>
  </si>
  <si>
    <t>Rachel Perez</t>
  </si>
  <si>
    <t>Urinary Tract Infection</t>
  </si>
  <si>
    <t>Hydration</t>
  </si>
  <si>
    <t>Monitor for any signs of worsening symptoms.</t>
  </si>
  <si>
    <t>8e36ba50-ebde-4b68-81b9-3cdca0b7eade</t>
  </si>
  <si>
    <t>Michael Williams</t>
  </si>
  <si>
    <t>Male</t>
  </si>
  <si>
    <t>Stroke</t>
  </si>
  <si>
    <t>Physical Therapy</t>
  </si>
  <si>
    <t>Referred to physical therapy for mobility improvement.</t>
  </si>
  <si>
    <t>422bd94a-41e1-4bdc-96a3-f7570a868df1</t>
  </si>
  <si>
    <t>Christopher Rodriguez</t>
  </si>
  <si>
    <t>Hypertension</t>
  </si>
  <si>
    <t>Lifestyle Changes</t>
  </si>
  <si>
    <t>Patient started on antihypertensive medication.</t>
  </si>
  <si>
    <t>06a7cef8-73c4-4530-a93a-61e147f13aa0</t>
  </si>
  <si>
    <t>Carrie White</t>
  </si>
  <si>
    <t>Asthma</t>
  </si>
  <si>
    <t>Inhalers</t>
  </si>
  <si>
    <t>Advised to avoid known asthma triggers.</t>
  </si>
  <si>
    <t>7f425133-f186-41a8-952e-84ed9f6b84cc</t>
  </si>
  <si>
    <t>Emily Velasquez</t>
  </si>
  <si>
    <t>Speech Therapy</t>
  </si>
  <si>
    <t>Speech therapy initiated to address language difficulties.</t>
  </si>
  <si>
    <t>0ee3999e-d77f-4985-abae-71c1a4f0a003</t>
  </si>
  <si>
    <t>David Jackson</t>
  </si>
  <si>
    <t>Fracture</t>
  </si>
  <si>
    <t>Referred to physical therapy for rehabilitation.</t>
  </si>
  <si>
    <t>95f8f10d-b073-4c1a-9626-11a4944f486c</t>
  </si>
  <si>
    <t>John Stephens</t>
  </si>
  <si>
    <t>Arthritis</t>
  </si>
  <si>
    <t>Advised on lifestyle modifications to reduce joint pain.</t>
  </si>
  <si>
    <t>b689b4b7-04a2-4620-9940-5010dbd52aac</t>
  </si>
  <si>
    <t>Paul Berg</t>
  </si>
  <si>
    <t>Anxiety</t>
  </si>
  <si>
    <t>Cognitive Behavioral Therapy</t>
  </si>
  <si>
    <t>Prescribed anxiolytic medication for symptom control.</t>
  </si>
  <si>
    <t>88462a18-95ea-4b67-837b-aa171ecead75</t>
  </si>
  <si>
    <t>Cassandra Miller</t>
  </si>
  <si>
    <t>Cancer</t>
  </si>
  <si>
    <t>Chemotherapy</t>
  </si>
  <si>
    <t>Scheduled for radiation therapy next week.</t>
  </si>
  <si>
    <t>0df01bb8-b9b8-4d91-a5ac-e3e744286d7d</t>
  </si>
  <si>
    <t>Kelly Roberts</t>
  </si>
  <si>
    <t>Common Cold</t>
  </si>
  <si>
    <t>Symptoms should improve within a week.</t>
  </si>
  <si>
    <t>2b48635a-eda9-4cdd-9f47-2481a075fa38</t>
  </si>
  <si>
    <t>Robert Johnson</t>
  </si>
  <si>
    <t>Prescribed long-term bronchodilators.</t>
  </si>
  <si>
    <t>faccc8d5-1f7c-4310-9fc5-cd22d38ad475</t>
  </si>
  <si>
    <t>Travis Castillo</t>
  </si>
  <si>
    <t>Diabetes</t>
  </si>
  <si>
    <t>Insulin Therapy</t>
  </si>
  <si>
    <t>Insulin therapy initiated; patient instructed on usage.</t>
  </si>
  <si>
    <t>c5e18e48-1ff1-4209-9d65-42c81674b669</t>
  </si>
  <si>
    <t>Christopher Garcia</t>
  </si>
  <si>
    <t>Patient instructed on proper inhaler technique.</t>
  </si>
  <si>
    <t>84f49173-37b2-473f-9486-2115203bcbf2</t>
  </si>
  <si>
    <t>Deanna Gordon</t>
  </si>
  <si>
    <t>Parkinson's Disease</t>
  </si>
  <si>
    <t>Referred to physical therapy to improve mobility and balance.</t>
  </si>
  <si>
    <t>07360377-b987-41e6-bb63-e24e5e3d8359</t>
  </si>
  <si>
    <t>Karen Osborne</t>
  </si>
  <si>
    <t>Depression</t>
  </si>
  <si>
    <t>Antidepressants</t>
  </si>
  <si>
    <t>8d7b3cd7-1ca4-44c8-9970-7fd605dafb07</t>
  </si>
  <si>
    <t>Taylor Myers</t>
  </si>
  <si>
    <t>Radiation Therapy</t>
  </si>
  <si>
    <t>Discussed surgical options and potential outcomes.</t>
  </si>
  <si>
    <t>8a31887c-08fe-41d9-8a7d-3f5ac3594335</t>
  </si>
  <si>
    <t>Matthew Bowen</t>
  </si>
  <si>
    <t>Gastroenteritis</t>
  </si>
  <si>
    <t>Rehydration Therapy</t>
  </si>
  <si>
    <t>Prescribed rehydration solution and advised rest.</t>
  </si>
  <si>
    <t>65fe8ce2-b452-45b8-8d95-b8047d12c26a</t>
  </si>
  <si>
    <t>Mark Mendez</t>
  </si>
  <si>
    <t>Skin Infection</t>
  </si>
  <si>
    <t>Topical Antibiotics</t>
  </si>
  <si>
    <t>Advised to keep affected area clean and dry.</t>
  </si>
  <si>
    <t>b1e3fe8e-d947-4dc0-ad4c-8bcc34cd0169</t>
  </si>
  <si>
    <t>Kathleen Cohen</t>
  </si>
  <si>
    <t>COVID-19</t>
  </si>
  <si>
    <t>Antiviral Drugs</t>
  </si>
  <si>
    <t>Monitor for any signs of respiratory failure.</t>
  </si>
  <si>
    <t>b86853e7-b4b0-44f7-a5e4-b735be42da28</t>
  </si>
  <si>
    <t>Stephanie Brown</t>
  </si>
  <si>
    <t>Started on antibiotics to treat infection.</t>
  </si>
  <si>
    <t>f476d1eb-b041-46fc-9ef5-bc91cbf5e60d</t>
  </si>
  <si>
    <t>Pamela Mcintosh</t>
  </si>
  <si>
    <t>Antibiotics</t>
  </si>
  <si>
    <t>Advised increased fluid intake.</t>
  </si>
  <si>
    <t>a243a3e3-b6e4-480d-94be-d387d70287f4</t>
  </si>
  <si>
    <t>Eric Spencer</t>
  </si>
  <si>
    <t>Rest</t>
  </si>
  <si>
    <t>fb27f30f-c615-4d7d-bdc3-5aa4d92f756b</t>
  </si>
  <si>
    <t>Alicia Hobbs</t>
  </si>
  <si>
    <t>Prescribed bronchodilator for immediate relief.</t>
  </si>
  <si>
    <t>5d4cd120-9b7e-4b1e-b303-7a128aefd9fe</t>
  </si>
  <si>
    <t>Tammy Cook</t>
  </si>
  <si>
    <t>Influenza</t>
  </si>
  <si>
    <t>Advised rest and maintain hydration.</t>
  </si>
  <si>
    <t>5b05cf46-21b7-4143-bd56-358c231ccdc7</t>
  </si>
  <si>
    <t>Warren Ball</t>
  </si>
  <si>
    <t>Monitored for signs of stroke recurrence.</t>
  </si>
  <si>
    <t>c5f11786-656f-4a2f-938b-64f7b88c4dc1</t>
  </si>
  <si>
    <t>Thomas Perez</t>
  </si>
  <si>
    <t>Sprain</t>
  </si>
  <si>
    <t>6a97e365-b3bb-40e1-aea0-0ceb5a091c56</t>
  </si>
  <si>
    <t>Krystal Hayes</t>
  </si>
  <si>
    <t>f268348a-e7fb-4985-b53e-47018215a80d</t>
  </si>
  <si>
    <t>George Martinez</t>
  </si>
  <si>
    <t>Prescribed topical antibiotics for local infection.</t>
  </si>
  <si>
    <t>f8addd8b-fd12-4c53-a652-6732496395c4</t>
  </si>
  <si>
    <t>Stacy Williams</t>
  </si>
  <si>
    <t>Prescribed medication for immediate pain relief.</t>
  </si>
  <si>
    <t>d03ee15d-4b2a-4d92-9f99-75df12227db8</t>
  </si>
  <si>
    <t>David Smith</t>
  </si>
  <si>
    <t>Sinusitis</t>
  </si>
  <si>
    <t>Prescribed decongestants to relieve sinus pressure.</t>
  </si>
  <si>
    <t>6db0cb06-f633-4b7c-95df-21b3d3dde459</t>
  </si>
  <si>
    <t>Keith Cox</t>
  </si>
  <si>
    <t>Bronchitis</t>
  </si>
  <si>
    <t>Started on antibiotics for bacterial infection.</t>
  </si>
  <si>
    <t>87937b87-764c-4fe8-9f84-b710e5c4aa6b</t>
  </si>
  <si>
    <t>Fernando Brown</t>
  </si>
  <si>
    <t>Advised on steam inhalation for symptom relief.</t>
  </si>
  <si>
    <t>031ac3d0-9f41-4ed1-90be-939ac368dd6c</t>
  </si>
  <si>
    <t>Kenneth Smith</t>
  </si>
  <si>
    <t>Chemotherapy regimen started; patient informed of side effects.</t>
  </si>
  <si>
    <t>9b3a6e21-8838-49f4-b952-fcaf01428c62</t>
  </si>
  <si>
    <t>Brian Ortega</t>
  </si>
  <si>
    <t>Alzheimer's Disease</t>
  </si>
  <si>
    <t>Referred to cognitive behavioral therapy to improve memory and thinking skills.</t>
  </si>
  <si>
    <t>93ca6215-3c58-47e2-9647-7e0fa744a135</t>
  </si>
  <si>
    <t>Robert Francis</t>
  </si>
  <si>
    <t>Elevation</t>
  </si>
  <si>
    <t>Prescribed pain relief medication.</t>
  </si>
  <si>
    <t>40063c47-1a5f-4a60-97e7-e15152015830</t>
  </si>
  <si>
    <t>Julie Russell</t>
  </si>
  <si>
    <t>Oxygen therapy administered for low blood oxygen levels.</t>
  </si>
  <si>
    <t>14d662e1-a9c5-49e7-8b6f-e701d7de0b0b</t>
  </si>
  <si>
    <t>Mary Moore</t>
  </si>
  <si>
    <t>Chronic Kidney Disease</t>
  </si>
  <si>
    <t>Dialysis</t>
  </si>
  <si>
    <t>Advised on dietary restrictions to support kidney function.</t>
  </si>
  <si>
    <t>6eef2241-96f6-43c7-af89-c0a1cf9dbe8b</t>
  </si>
  <si>
    <t>Jennifer Wolfe</t>
  </si>
  <si>
    <t>f21605b3-7d6d-43d3-b6a3-66c897e609e7</t>
  </si>
  <si>
    <t>Katherine Davis</t>
  </si>
  <si>
    <t>ed4c4b82-0e82-49f2-8940-73f270c641c9</t>
  </si>
  <si>
    <t>Michael Mcdonald</t>
  </si>
  <si>
    <t>Oxygen Therapy</t>
  </si>
  <si>
    <t>Referred to pulmonary rehabilitation program.</t>
  </si>
  <si>
    <t>d00ed138-4b26-4364-8259-4c9f9ac14db5</t>
  </si>
  <si>
    <t>Donna Gardner</t>
  </si>
  <si>
    <t>92928a2c-4c39-4120-ade1-25a01c37500b</t>
  </si>
  <si>
    <t>Daniel Mora</t>
  </si>
  <si>
    <t>Burns</t>
  </si>
  <si>
    <t>Bandaging</t>
  </si>
  <si>
    <t>f483b84c-b5d2-48dc-85fc-b51826ec2273</t>
  </si>
  <si>
    <t>John Thomas</t>
  </si>
  <si>
    <t>Pain Relief</t>
  </si>
  <si>
    <t>a2ad7e73-8c55-4065-ad39-8dd0a57c0dc0</t>
  </si>
  <si>
    <t>Lauren Anderson</t>
  </si>
  <si>
    <t>25e1ba57-5a7c-4ab7-9a92-96896685b2b0</t>
  </si>
  <si>
    <t>Brandon White</t>
  </si>
  <si>
    <t>Epilepsy</t>
  </si>
  <si>
    <t>Surgery</t>
  </si>
  <si>
    <t>Discussed surgical options for refractory epilepsy.</t>
  </si>
  <si>
    <t>f3648e1b-c262-4c3e-a45d-0ac6c7a81acb</t>
  </si>
  <si>
    <t>Tonya Garza</t>
  </si>
  <si>
    <t>Advised to maintain a seizure diary.</t>
  </si>
  <si>
    <t>e8561512-6dcb-4ce1-9ee5-756174f40065</t>
  </si>
  <si>
    <t>Henry Smith</t>
  </si>
  <si>
    <t>Started on medication to slow progression of symptoms.</t>
  </si>
  <si>
    <t>8e11e344-c5e2-4779-afb2-8383f29abbde</t>
  </si>
  <si>
    <t>Cynthia Miller</t>
  </si>
  <si>
    <t>d6e40b36-779b-48ae-9371-1a1a08f00cb9</t>
  </si>
  <si>
    <t>Karen Daniel</t>
  </si>
  <si>
    <t>Cough Medicine</t>
  </si>
  <si>
    <t>13b6714e-6e47-4d5b-bf5b-de6024c9e08f</t>
  </si>
  <si>
    <t>James Case</t>
  </si>
  <si>
    <t>7157906c-80c7-4f91-8516-4d00d6825061</t>
  </si>
  <si>
    <t>Andrew Taylor</t>
  </si>
  <si>
    <t>272ebfdc-ee1c-4d5a-859f-9d505128eceb</t>
  </si>
  <si>
    <t>Jonathan Schroeder</t>
  </si>
  <si>
    <t>f13315d1-249b-4050-9711-d0bbd28eee4e</t>
  </si>
  <si>
    <t>Matthew Zimmerman</t>
  </si>
  <si>
    <t>Decongestants</t>
  </si>
  <si>
    <t>9a935c38-fa81-4bc9-95c8-2d64731e176f</t>
  </si>
  <si>
    <t>Joe Bryant</t>
  </si>
  <si>
    <t>01b86b7d-86d4-4560-b24e-35045279297f</t>
  </si>
  <si>
    <t>George Brown</t>
  </si>
  <si>
    <t>Discussed with family about disease progression and care options.</t>
  </si>
  <si>
    <t>3e50e91c-2843-428b-aa98-65a957d551b7</t>
  </si>
  <si>
    <t>Kimberly Gay</t>
  </si>
  <si>
    <t>Anxiolytics</t>
  </si>
  <si>
    <t>Referred to cognitive behavioral therapy.</t>
  </si>
  <si>
    <t>e9f2bb28-424a-42c4-8fd5-d644f1a1790a</t>
  </si>
  <si>
    <t>Heather Johnson</t>
  </si>
  <si>
    <t>Started on oral antibiotics for more severe infection.</t>
  </si>
  <si>
    <t>ef4dd264-52cd-4acf-978e-e06d1d8aea3a</t>
  </si>
  <si>
    <t>Laura Solis</t>
  </si>
  <si>
    <t>08e578b1-376d-47f9-a803-088e0a2bb62a</t>
  </si>
  <si>
    <t>Julia Wells</t>
  </si>
  <si>
    <t>126f582a-9cef-45bf-9f94-bf08f6c760ce</t>
  </si>
  <si>
    <t>Janet Reed</t>
  </si>
  <si>
    <t>Discussed stress management techniques.</t>
  </si>
  <si>
    <t>f798a354-56ce-4178-a4cd-b77249e64824</t>
  </si>
  <si>
    <t>Carla Mckenzie</t>
  </si>
  <si>
    <t>f9842e4a-88eb-452b-8968-167315010ba5</t>
  </si>
  <si>
    <t>Miss Patricia Butler DVM</t>
  </si>
  <si>
    <t>Patient started on dialysis; discussed procedure and schedule.</t>
  </si>
  <si>
    <t>f06abaf6-5ac5-4ce1-84cb-fa0a6f0c74d6</t>
  </si>
  <si>
    <t>John Campbell</t>
  </si>
  <si>
    <t>75cb982a-a739-431e-8e22-ba2e4f9aba96</t>
  </si>
  <si>
    <t>Christopher Palmer</t>
  </si>
  <si>
    <t>Prescribed antidepressant medication.</t>
  </si>
  <si>
    <t>75cdc78e-03fa-4296-9b3e-ddbe7f482f1c</t>
  </si>
  <si>
    <t>Renee Lamb</t>
  </si>
  <si>
    <t>55eada07-ee97-4c50-a4c5-7aec5c385428</t>
  </si>
  <si>
    <t>Charles Warren</t>
  </si>
  <si>
    <t>Discussed surgical options for complex fracture.</t>
  </si>
  <si>
    <t>32683077-4d19-43bb-abb7-93ef84cc7f98</t>
  </si>
  <si>
    <t>Pamela Wallace</t>
  </si>
  <si>
    <t>020e69db-e796-43d3-bf35-9ffa4a996889</t>
  </si>
  <si>
    <t>Cheryl Skinner</t>
  </si>
  <si>
    <t>386993a4-7292-4185-b7c3-ea354c1f76c7</t>
  </si>
  <si>
    <t>Jacqueline Diaz</t>
  </si>
  <si>
    <t>79503efc-99e6-4b95-a036-f8d5c0fc263e</t>
  </si>
  <si>
    <t>Ryan Tanner</t>
  </si>
  <si>
    <t>7e299f04-1cae-4ed0-bbf5-82fb3ea4801a</t>
  </si>
  <si>
    <t>William Estrada</t>
  </si>
  <si>
    <t>Referred to therapy for additional support.</t>
  </si>
  <si>
    <t>8fbd396c-963b-4098-b5fb-2e07b892fa3d</t>
  </si>
  <si>
    <t>Erik Stewart</t>
  </si>
  <si>
    <t>6e9ae84f-997f-46b3-88d9-1c2b5aa627b7</t>
  </si>
  <si>
    <t>Julie Taylor</t>
  </si>
  <si>
    <t>0a609565-8cbc-4e36-ab34-430f5183069c</t>
  </si>
  <si>
    <t>Joseph Miller</t>
  </si>
  <si>
    <t>4edd2267-856a-470a-900a-fb58cf374e98</t>
  </si>
  <si>
    <t>Russell Anderson</t>
  </si>
  <si>
    <t>30fe1263-93f3-41a8-9744-4f0d3e04321e</t>
  </si>
  <si>
    <t>Albert Jones</t>
  </si>
  <si>
    <t>5e5c8d0c-1b25-4004-95d8-0454e1d818e9</t>
  </si>
  <si>
    <t>Felicia Greene</t>
  </si>
  <si>
    <t>734a6dec-374e-404a-a032-8dec73d5f1b7</t>
  </si>
  <si>
    <t>Lisa Roberts</t>
  </si>
  <si>
    <t>c0fb3fbf-3f77-40e2-aa7b-5c66e20a0ebf</t>
  </si>
  <si>
    <t>Pamela Marks MD</t>
  </si>
  <si>
    <t>Allergies</t>
  </si>
  <si>
    <t>Avoidance of Allergens</t>
  </si>
  <si>
    <t>Advised to avoid known allergens.</t>
  </si>
  <si>
    <t>e18e3ae9-b727-47d0-b84f-b62fc8d37adf</t>
  </si>
  <si>
    <t>Marie Johnson</t>
  </si>
  <si>
    <t>5051bdfd-ae9e-4c16-9dae-31fdc03c71dc</t>
  </si>
  <si>
    <t>Emily Edwards</t>
  </si>
  <si>
    <t>Discussed dietary changes to manage blood sugar levels.</t>
  </si>
  <si>
    <t>18fd7f63-5dd0-40a4-8c38-db0d1c8e62e8</t>
  </si>
  <si>
    <t>Kelly Skinner</t>
  </si>
  <si>
    <t>Heart Disease</t>
  </si>
  <si>
    <t>Prescribed beta-blockers and statins.</t>
  </si>
  <si>
    <t>e0aabdd4-930e-4f52-bfaf-bc8b79049286</t>
  </si>
  <si>
    <t>Melissa Powell</t>
  </si>
  <si>
    <t>Prescribed cough medicine and advised rest.</t>
  </si>
  <si>
    <t>e60a4e1e-4806-4073-a704-73539a2159b8</t>
  </si>
  <si>
    <t>Robert Taylor</t>
  </si>
  <si>
    <t>f77b95bb-6778-41c8-9661-19ab0465e954</t>
  </si>
  <si>
    <t>Gregory Fisher</t>
  </si>
  <si>
    <t>c4b76553-dc52-4283-9ca5-8ba98e98492b</t>
  </si>
  <si>
    <t>Allen Thompson</t>
  </si>
  <si>
    <t>65355403-d1c8-44ce-a611-dea646da69ef</t>
  </si>
  <si>
    <t>Timothy Pineda</t>
  </si>
  <si>
    <t>1f4e37df-307d-4f61-81bc-1d83998ccf1d</t>
  </si>
  <si>
    <t>Christine Hale</t>
  </si>
  <si>
    <t>Symptomatic treatment for nausea and vomiting.</t>
  </si>
  <si>
    <t>71998e1e-9fca-4aad-bd44-a67b22cc9758</t>
  </si>
  <si>
    <t>Peter Ward</t>
  </si>
  <si>
    <t>Antihistamines</t>
  </si>
  <si>
    <t>6d78aaa8-8763-4a15-b142-082c51945e49</t>
  </si>
  <si>
    <t>Jessica Smith</t>
  </si>
  <si>
    <t>Multiple Sclerosis</t>
  </si>
  <si>
    <t>Referred to physical therapy to maintain muscle strength.</t>
  </si>
  <si>
    <t>b8849c31-1273-4b66-ae81-a5c4947af117</t>
  </si>
  <si>
    <t>Rita Hunt</t>
  </si>
  <si>
    <t>Prescribed antiviral medication; start immediately.</t>
  </si>
  <si>
    <t>4fc5683e-d3d3-4a73-83f3-b801e5cdae97</t>
  </si>
  <si>
    <t>Amber Bailey</t>
  </si>
  <si>
    <t>04a814bc-4ab0-4c2b-a1c9-47193efa6617</t>
  </si>
  <si>
    <t>Samuel Schneider</t>
  </si>
  <si>
    <t>9aca7978-eda0-47c6-ab25-df6e23f1dd88</t>
  </si>
  <si>
    <t>Jason Phillips</t>
  </si>
  <si>
    <t>Discussed potential for allergy testing.</t>
  </si>
  <si>
    <t>4f1cefe6-4ba5-4646-8c3d-8c285232a12e</t>
  </si>
  <si>
    <t>Stephen West</t>
  </si>
  <si>
    <t>96678228-1329-494f-b18e-204d8bb1571f</t>
  </si>
  <si>
    <t>Karen Wilson</t>
  </si>
  <si>
    <t>Advised on lifestyle changes to reduce migraine triggers.</t>
  </si>
  <si>
    <t>5bb8f4f5-e7b2-49ac-9fe7-34beda8edec9</t>
  </si>
  <si>
    <t>Richard Terry</t>
  </si>
  <si>
    <t>b85bd9c6-5ce1-46b5-8f6f-c00f3a7c5e28</t>
  </si>
  <si>
    <t>Michael Smith</t>
  </si>
  <si>
    <t>a06be831-a709-4ab9-a9d6-55a626cb8cee</t>
  </si>
  <si>
    <t>Marcus Padilla</t>
  </si>
  <si>
    <t>b727268a-6515-42a7-864d-ec8813b81c84</t>
  </si>
  <si>
    <t>Gabrielle Kelly</t>
  </si>
  <si>
    <t>a0edfd81-490a-4c7e-a119-d3453049ea80</t>
  </si>
  <si>
    <t>Julie Moore</t>
  </si>
  <si>
    <t>77ab152e-407c-4ae2-88e9-c34587bc6561</t>
  </si>
  <si>
    <t>Andrea Wood</t>
  </si>
  <si>
    <t>Patient advised to monitor blood sugar levels regularly.</t>
  </si>
  <si>
    <t>f880237d-83c7-46a0-9ea3-b4f4a20679ff</t>
  </si>
  <si>
    <t>David Anderson</t>
  </si>
  <si>
    <t>8ec34d2d-6ac1-46e7-a4b5-f8adff308686</t>
  </si>
  <si>
    <t>Zachary Foster</t>
  </si>
  <si>
    <t>4707fb20-7093-4344-a934-05123dbc8ffb</t>
  </si>
  <si>
    <t>Zachary Fritz</t>
  </si>
  <si>
    <t>79e84b96-a262-48d6-9bb3-fa907b320716</t>
  </si>
  <si>
    <t>Denise Cervantes</t>
  </si>
  <si>
    <t>Casting</t>
  </si>
  <si>
    <t>Fracture immobilized with casting.</t>
  </si>
  <si>
    <t>08adda26-c2ee-42d9-9ef9-8014ff0e0b04</t>
  </si>
  <si>
    <t>Brandon James</t>
  </si>
  <si>
    <t>185c3f01-4982-42a4-b931-18b6e2b8a787</t>
  </si>
  <si>
    <t>Hannah Carter</t>
  </si>
  <si>
    <t>Advised rest and increased fluid intake.</t>
  </si>
  <si>
    <t>d8866069-e3b1-40fd-99d4-41ed8c922ee4</t>
  </si>
  <si>
    <t>Melody Robertson</t>
  </si>
  <si>
    <t>a89596c2-917a-4e07-9477-90a81fde5345</t>
  </si>
  <si>
    <t>Elijah Morrow</t>
  </si>
  <si>
    <t>ee9d9919-78c3-431b-ab8e-28dec3292c7e</t>
  </si>
  <si>
    <t>Dr. William Greene Jr.</t>
  </si>
  <si>
    <t>Antiepileptic medication prescribed; monitor for side effects.</t>
  </si>
  <si>
    <t>b8daad85-64a2-495a-98a8-33977b3cde50</t>
  </si>
  <si>
    <t>William Richardson</t>
  </si>
  <si>
    <t>f7985985-78bb-4d9d-b6b7-6b7d0b6eb6bf</t>
  </si>
  <si>
    <t>David Gray</t>
  </si>
  <si>
    <t>f6009fbb-0820-4d51-be18-4dcf36afa113</t>
  </si>
  <si>
    <t>Amy Wolfe</t>
  </si>
  <si>
    <t>dc12b127-960a-46b0-80c9-ac2836e8c0a4</t>
  </si>
  <si>
    <t>Brian Sanders</t>
  </si>
  <si>
    <t>Pneumonia</t>
  </si>
  <si>
    <t>Monitor for any signs of respiratory distress.</t>
  </si>
  <si>
    <t>dacab2f9-c27b-4911-9e6b-a6d64bf0728c</t>
  </si>
  <si>
    <t>Antonio Ferguson</t>
  </si>
  <si>
    <t>a3841300-08a9-4337-892a-7d021e7a900e</t>
  </si>
  <si>
    <t>Brooke Moore</t>
  </si>
  <si>
    <t>04b124d5-b7ad-449f-8ac3-2796eb889f6b</t>
  </si>
  <si>
    <t>Leah James</t>
  </si>
  <si>
    <t>b48b0e44-f908-44fd-ba12-3ad1a2304e0b</t>
  </si>
  <si>
    <t>Brandy Oconnor</t>
  </si>
  <si>
    <t>1480d4d6-85f2-4609-8dd3-b66e442496ed</t>
  </si>
  <si>
    <t>Jared Smith</t>
  </si>
  <si>
    <t>993cf382-683a-4543-b48a-9720fea0d2d0</t>
  </si>
  <si>
    <t>Jose Day</t>
  </si>
  <si>
    <t>13cd3337-57ea-425b-8ff1-0ff7faf1d73b</t>
  </si>
  <si>
    <t>Briana Lucas</t>
  </si>
  <si>
    <t>Follow-up in two weeks to monitor blood pressure.</t>
  </si>
  <si>
    <t>94194987-ba5c-45b5-99cc-1f33a36791bd</t>
  </si>
  <si>
    <t>Cameron Parker</t>
  </si>
  <si>
    <t>15f45b7c-1fbe-4bf5-85a3-36accea7f825</t>
  </si>
  <si>
    <t>Brett Buckley</t>
  </si>
  <si>
    <t>886b9151-b62a-4494-a51b-6e6cb31a2420</t>
  </si>
  <si>
    <t>Dawn Anderson</t>
  </si>
  <si>
    <t>Prescribed antihistamines for allergy relief.</t>
  </si>
  <si>
    <t>ab183790-957e-44b7-b637-fda2756474ea</t>
  </si>
  <si>
    <t>Joseph Melton</t>
  </si>
  <si>
    <t>2754c99a-e956-406e-b924-2c7e889bbd49</t>
  </si>
  <si>
    <t>Corey Davies</t>
  </si>
  <si>
    <t>0525af66-74e9-45a5-b1e4-e86cf85e549d</t>
  </si>
  <si>
    <t>Christopher Sanchez</t>
  </si>
  <si>
    <t>acf26c03-bdbe-4a2f-a73b-05ce0907bd4b</t>
  </si>
  <si>
    <t>Michelle Riley</t>
  </si>
  <si>
    <t>Monitor for any signs of worsening respiratory symptoms.</t>
  </si>
  <si>
    <t>a6dffaa0-ec2f-4bdd-883a-822a44f7109a</t>
  </si>
  <si>
    <t>Gregg Garcia</t>
  </si>
  <si>
    <t>680aba02-33a2-471c-923d-f9a2ff44f0eb</t>
  </si>
  <si>
    <t>Brett Hernandez</t>
  </si>
  <si>
    <t>Disease-modifying therapy initiated.</t>
  </si>
  <si>
    <t>12d1e486-3cc5-4b71-b501-c2209f83dbc0</t>
  </si>
  <si>
    <t>Calvin Alexander</t>
  </si>
  <si>
    <t>63842f30-e865-4de4-86f4-2538020e0321</t>
  </si>
  <si>
    <t>Jessica Wood</t>
  </si>
  <si>
    <t>1f608dac-a1dc-4543-a9a4-c477d2ca96dc</t>
  </si>
  <si>
    <t>Xavier Schneider</t>
  </si>
  <si>
    <t>11b630a2-d1d8-4c8b-83ea-09fcd60be880</t>
  </si>
  <si>
    <t>James Smith</t>
  </si>
  <si>
    <t>Discussed strategies to manage fatigue and other symptoms.</t>
  </si>
  <si>
    <t>d8e4f865-171b-460f-81c7-8746a4de0568</t>
  </si>
  <si>
    <t>Stephen Martin</t>
  </si>
  <si>
    <t>6a572387-3c92-4eb6-b1b8-f5eb4ac6806b</t>
  </si>
  <si>
    <t>Carol Silva</t>
  </si>
  <si>
    <t>74f1e2d1-0bfe-47d6-b5d6-2ab4c0fd1d48</t>
  </si>
  <si>
    <t>Barbara Gibson</t>
  </si>
  <si>
    <t>125f2ce1-a22d-4f1c-b4c5-8e9db3a9d10d</t>
  </si>
  <si>
    <t>Susan Williams</t>
  </si>
  <si>
    <t>fe6aa127-3fb7-4428-8f19-23fa96ac2a9f</t>
  </si>
  <si>
    <t>Crystal Berry</t>
  </si>
  <si>
    <t>f9126224-0fd4-4265-a3bd-04b99ab6ede2</t>
  </si>
  <si>
    <t>Cynthia Ramirez</t>
  </si>
  <si>
    <t>Monitor for any signs of dehydration.</t>
  </si>
  <si>
    <t>674f5f47-1196-4e3b-98ed-bf8f1eb5726a</t>
  </si>
  <si>
    <t>Michelle Martin</t>
  </si>
  <si>
    <t>1872c7d1-407f-4428-ac81-1e54739a1608</t>
  </si>
  <si>
    <t>Mary Fritz</t>
  </si>
  <si>
    <t>Therapy</t>
  </si>
  <si>
    <t>98fa0568-a316-4369-862a-defb0b24423c</t>
  </si>
  <si>
    <t>Sarah Adams</t>
  </si>
  <si>
    <t>a3532f14-7b87-475d-a05c-7d7ba8046201</t>
  </si>
  <si>
    <t>Sandra Green</t>
  </si>
  <si>
    <t>df6984cf-6b08-4fdf-882e-eac79d2468e5</t>
  </si>
  <si>
    <t>John Day</t>
  </si>
  <si>
    <t>Topical Creams</t>
  </si>
  <si>
    <t>Bandaged affected area to protect from further injury.</t>
  </si>
  <si>
    <t>d94f8b03-d1c4-49f5-8480-e71ce85b33ce</t>
  </si>
  <si>
    <t>Roy Cook</t>
  </si>
  <si>
    <t>Discussed surgical options for coronary artery disease.</t>
  </si>
  <si>
    <t>cda0f0c5-9027-4100-9f8e-1e1d685ba656</t>
  </si>
  <si>
    <t>Scott Pena</t>
  </si>
  <si>
    <t>5b7aba80-dd70-4c0c-ba05-174e5e1f212a</t>
  </si>
  <si>
    <t>Steven Castillo</t>
  </si>
  <si>
    <t>8c3052c8-a268-4a19-94a8-d3f2d3e19018</t>
  </si>
  <si>
    <t>Megan Coffey</t>
  </si>
  <si>
    <t>Discussed potential for deep brain stimulation surgery.</t>
  </si>
  <si>
    <t>e6c144f0-d4a1-4cb1-8ef0-7ecd3789195a</t>
  </si>
  <si>
    <t>Tonya Bradley</t>
  </si>
  <si>
    <t>e4a9d5f0-f31d-4b3e-a270-308b73a771ff</t>
  </si>
  <si>
    <t>Gary Nicholson</t>
  </si>
  <si>
    <t>d6e13c61-77a0-480b-a66f-54b753d05e4f</t>
  </si>
  <si>
    <t>Gregory Moore</t>
  </si>
  <si>
    <t>f08409ff-4f09-4700-8459-214b77d639f6</t>
  </si>
  <si>
    <t>Alexander Kelly</t>
  </si>
  <si>
    <t>8de4c238-3c60-43a2-86f9-d25683c484c7</t>
  </si>
  <si>
    <t>Duane Rodriguez</t>
  </si>
  <si>
    <t>fb713076-bf22-420f-a4b3-6d8897c3efe6</t>
  </si>
  <si>
    <t>Manuel May</t>
  </si>
  <si>
    <t>e13ba45c-c8b9-4159-b3dc-8381b2a7c8f2</t>
  </si>
  <si>
    <t>Toni Ross</t>
  </si>
  <si>
    <t>b7f28f03-bcf6-4fe2-8826-8f63c18bc1d9</t>
  </si>
  <si>
    <t>Martin Rhodes</t>
  </si>
  <si>
    <t>f19e9aac-015b-4bf3-a484-6cb957a919d9</t>
  </si>
  <si>
    <t>Mia Roberts</t>
  </si>
  <si>
    <t>e711f177-0fa0-4ded-a05a-f66ccf8c4edf</t>
  </si>
  <si>
    <t>Bethany Martin</t>
  </si>
  <si>
    <t>86d559d4-d455-4ec9-b3f5-f7f1bfbbd3c0</t>
  </si>
  <si>
    <t>Victoria Reid</t>
  </si>
  <si>
    <t>90b0a72c-ca26-4872-a6c2-afa1c3a63a34</t>
  </si>
  <si>
    <t>Sheila Gonzales</t>
  </si>
  <si>
    <t>afdd65d4-1d1e-4030-a272-263dfa537338</t>
  </si>
  <si>
    <t>Denise House</t>
  </si>
  <si>
    <t>c568470b-7149-4a4f-aa44-801635b0afe5</t>
  </si>
  <si>
    <t>Kevin Washington</t>
  </si>
  <si>
    <t>Prescribed anti-inflammatory medication.</t>
  </si>
  <si>
    <t>841391a1-a557-4f6f-a2e3-0446dbbb7c69</t>
  </si>
  <si>
    <t>Craig Moreno</t>
  </si>
  <si>
    <t>34386a27-fcdb-4ca1-8314-68f328853a1a</t>
  </si>
  <si>
    <t>Mackenzie Ford</t>
  </si>
  <si>
    <t>Advised to reduce salt intake and increase physical activity.</t>
  </si>
  <si>
    <t>ec8f333c-62e7-459a-974a-2581354b0468</t>
  </si>
  <si>
    <t>Jerome Hamilton</t>
  </si>
  <si>
    <t>3d6b76a9-aa27-4dcd-bf8e-ee9e6259d1ce</t>
  </si>
  <si>
    <t>Valerie Martin</t>
  </si>
  <si>
    <t>4b9c5b07-3972-4888-8fa7-653ae8cbd3a9</t>
  </si>
  <si>
    <t>Mark Walker</t>
  </si>
  <si>
    <t>f50b5064-5f17-4e74-bf67-20a467ad5cad</t>
  </si>
  <si>
    <t>Kelsey Johnson</t>
  </si>
  <si>
    <t>6a64e052-3443-4afb-a8e0-6057da3eaac9</t>
  </si>
  <si>
    <t>Briana Taylor</t>
  </si>
  <si>
    <t>26b663f5-7ea9-411f-ab22-30f8afbe51db</t>
  </si>
  <si>
    <t>Yvette Chavez</t>
  </si>
  <si>
    <t>ebed9ca1-317d-43a2-a09e-db07578d3130</t>
  </si>
  <si>
    <t>Rachel Massey</t>
  </si>
  <si>
    <t>e968321e-820b-44f7-9b97-ac74f4859548</t>
  </si>
  <si>
    <t>Brett Johnson</t>
  </si>
  <si>
    <t>f182af7c-bb4b-42ea-848b-a6011e7ec360</t>
  </si>
  <si>
    <t>Vickie Garza</t>
  </si>
  <si>
    <t>66c6f7f1-69f7-44e3-bf75-1699083536f6</t>
  </si>
  <si>
    <t>Christopher Haynes</t>
  </si>
  <si>
    <t>d0494167-0c00-4b71-adfa-20ea08bc135f</t>
  </si>
  <si>
    <t>Jennifer Burnett</t>
  </si>
  <si>
    <t>f8df1eb2-7d29-4966-b92c-7368f4166c75</t>
  </si>
  <si>
    <t>Ariana Martin</t>
  </si>
  <si>
    <t>0daa3f73-51c1-4e8b-89c1-5e2d57b5ef36</t>
  </si>
  <si>
    <t>Lynn Brandt</t>
  </si>
  <si>
    <t>3efdd64c-6f4f-458a-b6ba-e8f11ec1424d</t>
  </si>
  <si>
    <t>Ashley Winters</t>
  </si>
  <si>
    <t>d3217813-0965-48c7-a6e6-791552f3d2bd</t>
  </si>
  <si>
    <t>Kelly Henderson</t>
  </si>
  <si>
    <t>Compression</t>
  </si>
  <si>
    <t>Advised RICE (Rest, Ice, Compression, Elevation) protocol.</t>
  </si>
  <si>
    <t>9b141076-3913-447c-88df-5f566b37b09d</t>
  </si>
  <si>
    <t>Stephanie Mitchell</t>
  </si>
  <si>
    <t>e0cc7bfc-8dd0-4ce6-81c1-c9234942a5f0</t>
  </si>
  <si>
    <t>Maurice Reese</t>
  </si>
  <si>
    <t>Monitor for any worsening of symptoms.</t>
  </si>
  <si>
    <t>799beb9a-0080-4f61-be28-666581d03ae4</t>
  </si>
  <si>
    <t>Jose Matthews</t>
  </si>
  <si>
    <t>Over-the-counter Medication</t>
  </si>
  <si>
    <t>Recommended over-the-counter medication for symptom relief.</t>
  </si>
  <si>
    <t>1eef37a0-d3ab-40ee-89f9-aad92ad1908e</t>
  </si>
  <si>
    <t>Kaitlin Hansen</t>
  </si>
  <si>
    <t>c30e7099-5988-42dc-9fe3-3f58c6453113</t>
  </si>
  <si>
    <t>Matthew Green</t>
  </si>
  <si>
    <t>0416bef8-c0ed-4b71-a621-40cbc5263a60</t>
  </si>
  <si>
    <t>Matthew Chen</t>
  </si>
  <si>
    <t>1caba3b2-99c5-4c2c-8814-dfd639f5ebb2</t>
  </si>
  <si>
    <t>Dr. William French</t>
  </si>
  <si>
    <t>Ventilation</t>
  </si>
  <si>
    <t>Patient tested positive for COVID-19; started on antiviral drugs.</t>
  </si>
  <si>
    <t>e5d021f6-4cd5-4ddb-b5fe-30be9d1213f3</t>
  </si>
  <si>
    <t>Barbara Dominguez</t>
  </si>
  <si>
    <t>50ff88bb-1dca-4b66-9fec-9515848f14aa</t>
  </si>
  <si>
    <t>Loretta Perez MD</t>
  </si>
  <si>
    <t>6dae2231-2930-40bc-8aab-24e205034bb1</t>
  </si>
  <si>
    <t>Martin Stevens</t>
  </si>
  <si>
    <t>01df3728-cefa-421f-9adf-2172f67bb175</t>
  </si>
  <si>
    <t>Richard Perkins</t>
  </si>
  <si>
    <t>e6fbd0dc-abee-4130-8aee-6b68eb6ff284</t>
  </si>
  <si>
    <t>David Parker</t>
  </si>
  <si>
    <t>Oral Antibiotics</t>
  </si>
  <si>
    <t>05908b7c-af35-4500-b3b2-017b88a2cc1c</t>
  </si>
  <si>
    <t>Derrick Martinez</t>
  </si>
  <si>
    <t>8b5450ff-ef2d-41f5-bcc1-9cc9fd210258</t>
  </si>
  <si>
    <t>Eric Arnold DDS</t>
  </si>
  <si>
    <t>Applied topical creams to prevent infection.</t>
  </si>
  <si>
    <t>7c492bab-c296-4e24-9916-a0ec05c68edb</t>
  </si>
  <si>
    <t>Olivia Miller</t>
  </si>
  <si>
    <t>0c249057-1bdd-49d8-9792-a7f0e8183cd2</t>
  </si>
  <si>
    <t>Richard Knox</t>
  </si>
  <si>
    <t>3697acf3-4404-492c-bed1-8daaafccbfad</t>
  </si>
  <si>
    <t>Miguel Long</t>
  </si>
  <si>
    <t>26262751-90f7-4406-ac58-a1c2cb464feb</t>
  </si>
  <si>
    <t>Kari Williams</t>
  </si>
  <si>
    <t>2d0cc5ec-2ce6-4e92-9e0b-7751659301ef</t>
  </si>
  <si>
    <t>Amber Evans</t>
  </si>
  <si>
    <t>6db1753e-82c4-4d54-825b-392360cb4311</t>
  </si>
  <si>
    <t>Pamela Berry MD</t>
  </si>
  <si>
    <t>a6474cc5-902b-4f61-b640-4bf2daa1782a</t>
  </si>
  <si>
    <t>Jennifer Cross</t>
  </si>
  <si>
    <t>41f4b222-e7f2-4bfd-9fde-5c6abf20a302</t>
  </si>
  <si>
    <t>Jennifer Harris</t>
  </si>
  <si>
    <t>4cd832bd-791b-426d-9501-15520a750e51</t>
  </si>
  <si>
    <t>Alicia Kelly</t>
  </si>
  <si>
    <t>2d31dd76-766c-4fba-9c1c-647e3b7ab736</t>
  </si>
  <si>
    <t>Michael Barnett</t>
  </si>
  <si>
    <t>902496fd-df73-497f-8c86-84d3f342d3fc</t>
  </si>
  <si>
    <t>Robert Harris</t>
  </si>
  <si>
    <t>49e35484-73a1-449e-bfd5-a3a212f5a390</t>
  </si>
  <si>
    <t>Christopher Morton</t>
  </si>
  <si>
    <t>c08f3cb5-1243-4d76-a419-4ab58b81bd99</t>
  </si>
  <si>
    <t>Isaiah Jackson</t>
  </si>
  <si>
    <t>10d5bb00-cc18-4654-888e-cc8dfbaa8e3b</t>
  </si>
  <si>
    <t>Olivia Sexton</t>
  </si>
  <si>
    <t>e0cca5c2-ac7a-46cf-a313-870019494c97</t>
  </si>
  <si>
    <t>Stephen Rogers</t>
  </si>
  <si>
    <t>42c2f799-1c8b-4006-b654-2654dd10602f</t>
  </si>
  <si>
    <t>Trevor Johnson</t>
  </si>
  <si>
    <t>Initiated dopaminergic medication for symptom control.</t>
  </si>
  <si>
    <t>b9ae9743-405f-454c-83d5-a563bd19de35</t>
  </si>
  <si>
    <t>John Reid</t>
  </si>
  <si>
    <t>a78a00e7-e5e2-4124-aaae-3e0fa453f335</t>
  </si>
  <si>
    <t>Brenda Marquez</t>
  </si>
  <si>
    <t>3b9f181c-1b33-4578-ab13-3f574d0c7eda</t>
  </si>
  <si>
    <t>Ashley Russell</t>
  </si>
  <si>
    <t>66fb6be5-6afb-423f-ad10-e7d4199a3f26</t>
  </si>
  <si>
    <t>Mrs. Kayla Hale</t>
  </si>
  <si>
    <t>ed22cf65-7928-4aab-aeda-236054470ddd</t>
  </si>
  <si>
    <t>Jose Ward</t>
  </si>
  <si>
    <t>a9f418b3-2657-4c62-a2ad-29d6cbd9549a</t>
  </si>
  <si>
    <t>Cynthia Cook</t>
  </si>
  <si>
    <t>10e5e0ff-c830-4e10-8628-f6cccaa94cb9</t>
  </si>
  <si>
    <t>Vanessa Hughes</t>
  </si>
  <si>
    <t>b25866fc-078a-47c3-8317-b9497a6e628b</t>
  </si>
  <si>
    <t>Jennifer Stone</t>
  </si>
  <si>
    <t>fdf2f192-7b2a-4982-b4e7-347dfd249217</t>
  </si>
  <si>
    <t>Kyle Smith</t>
  </si>
  <si>
    <t>a65381a8-e925-4ebd-8859-9369011f32c6</t>
  </si>
  <si>
    <t>Jamie Lozano</t>
  </si>
  <si>
    <t>454e02cb-37f3-41ab-a908-2c2b9aa9f44d</t>
  </si>
  <si>
    <t>Jerry Bullock</t>
  </si>
  <si>
    <t>bcbdebb8-a1b6-418b-8310-e38e1df14f27</t>
  </si>
  <si>
    <t>Elizabeth Pham</t>
  </si>
  <si>
    <t>Started on broad-spectrum antibiotics.</t>
  </si>
  <si>
    <t>d5b736d0-d8d2-486e-9c2e-caf979af8bdf</t>
  </si>
  <si>
    <t>Angela Flores</t>
  </si>
  <si>
    <t>4923e716-8800-4587-88fd-e62c56ccca23</t>
  </si>
  <si>
    <t>Brian Williams</t>
  </si>
  <si>
    <t>004fa9f9-89b7-40c7-b3d3-a9851971937d</t>
  </si>
  <si>
    <t>Donald Ramos</t>
  </si>
  <si>
    <t>685de05b-cd1d-482e-b347-ec21367ac2e1</t>
  </si>
  <si>
    <t>James Jackson</t>
  </si>
  <si>
    <t>11d966fb-23cc-463f-8304-d1099050eb64</t>
  </si>
  <si>
    <t>Elizabeth Hughes</t>
  </si>
  <si>
    <t>3c4831ba-1868-4451-a02b-afc5b5035cf4</t>
  </si>
  <si>
    <t>Michelle Bates</t>
  </si>
  <si>
    <t>Patient referred for cardiac catheterization.</t>
  </si>
  <si>
    <t>a7e6b95c-7ef1-41ce-b15e-65bb307e4406</t>
  </si>
  <si>
    <t>Ralph Ball</t>
  </si>
  <si>
    <t>1fb8ab59-c826-45a2-89c1-6b381aa7f9c4</t>
  </si>
  <si>
    <t>Kristen Campbell</t>
  </si>
  <si>
    <t>e749448d-b264-42f8-807a-08987bd71060</t>
  </si>
  <si>
    <t>Autumn Pearson</t>
  </si>
  <si>
    <t>fe925f9a-b40b-4eb1-83f6-d2e5bf0435f8</t>
  </si>
  <si>
    <t>Stephen Lynch</t>
  </si>
  <si>
    <t>e1772385-e6b8-45bd-970e-2de8fb98a1aa</t>
  </si>
  <si>
    <t>Jonathan Bright</t>
  </si>
  <si>
    <t>de66afea-ddc9-4e9c-8504-7a10172676df</t>
  </si>
  <si>
    <t>Adam Warren</t>
  </si>
  <si>
    <t>5238a1ca-f61a-4161-9733-1341d813e387</t>
  </si>
  <si>
    <t>Terry Alvarez</t>
  </si>
  <si>
    <t>f26ec283-1197-4012-83b7-7d8136601c6f</t>
  </si>
  <si>
    <t>Daniel Berger</t>
  </si>
  <si>
    <t>7606f1ac-24e0-4d6b-95e1-27252e1344ed</t>
  </si>
  <si>
    <t>Angelica Gomez</t>
  </si>
  <si>
    <t>a0fbd8a7-c428-4c91-8c50-2c63370d2f01</t>
  </si>
  <si>
    <t>Whitney Matthews DVM</t>
  </si>
  <si>
    <t>07f6873c-d62b-488b-abdd-f78083c3fdca</t>
  </si>
  <si>
    <t>Robert Phillips</t>
  </si>
  <si>
    <t>38174cd3-246e-4ec3-8cc1-f2d5774db7df</t>
  </si>
  <si>
    <t>Johnny Taylor</t>
  </si>
  <si>
    <t>01b54189-24a2-45bc-938e-ff761db99f51</t>
  </si>
  <si>
    <t>Alexa Smith</t>
  </si>
  <si>
    <t>92236d77-dd72-4ef7-b08d-e7ebef632713</t>
  </si>
  <si>
    <t>Christopher Jones</t>
  </si>
  <si>
    <t>0c73110d-88e5-44de-a6b6-fededb62c8db</t>
  </si>
  <si>
    <t>Abigail Molina</t>
  </si>
  <si>
    <t>107f8aa0-610d-4f43-b1c5-05ea582b7793</t>
  </si>
  <si>
    <t>Lori Gay</t>
  </si>
  <si>
    <t>df2b7cfb-de0c-4279-bee0-57a3726f7ea0</t>
  </si>
  <si>
    <t>Karen Dougherty</t>
  </si>
  <si>
    <t>09e6222d-ac2d-4fd4-bba8-65ab9379878d</t>
  </si>
  <si>
    <t>Steven Zhang Jr.</t>
  </si>
  <si>
    <t>de303dfb-1cf3-4950-9f0e-5316a2633efc</t>
  </si>
  <si>
    <t>Jeffrey Winters</t>
  </si>
  <si>
    <t>a1cc72be-cc2f-48c5-891c-60059b5d139d</t>
  </si>
  <si>
    <t>Kimberly Kim</t>
  </si>
  <si>
    <t>e4a42fc8-3508-46b1-b096-fc43a085b0c2</t>
  </si>
  <si>
    <t>Jennifer Thomas</t>
  </si>
  <si>
    <t>Hospitalized for closer monitoring and oxygen therapy.</t>
  </si>
  <si>
    <t>55675a07-9e2b-41af-a0c3-86a024e8ba80</t>
  </si>
  <si>
    <t>Jessica Shields</t>
  </si>
  <si>
    <t>Referred to physical therapy for joint strengthening exercises.</t>
  </si>
  <si>
    <t>0a7a6e98-74d4-4723-85a0-b004ffed0417</t>
  </si>
  <si>
    <t>Joseph Shelton</t>
  </si>
  <si>
    <t>851c4156-8f73-470b-a8af-756dfae8cea5</t>
  </si>
  <si>
    <t>Kelly Miller</t>
  </si>
  <si>
    <t>016b6bdc-8a5c-45bc-b03b-593b0d647dcd</t>
  </si>
  <si>
    <t>David Williams</t>
  </si>
  <si>
    <t>2c4c0dad-96f5-430f-8579-1b83d3e8aa04</t>
  </si>
  <si>
    <t>Cameron Cooper</t>
  </si>
  <si>
    <t>ac5cab5b-6a9a-406a-b0ec-3a7f148419d3</t>
  </si>
  <si>
    <t>Marissa Cole</t>
  </si>
  <si>
    <t>b00d9706-30cf-44dd-8acc-6f1991932b15</t>
  </si>
  <si>
    <t>Matthew Mcdaniel</t>
  </si>
  <si>
    <t>b241557b-5b8d-4bbd-a652-c0354b18e897</t>
  </si>
  <si>
    <t>Randy Smith</t>
  </si>
  <si>
    <t>f1e12eb0-d89c-4eea-8b00-c15c41bd81a5</t>
  </si>
  <si>
    <t>Shawn Coleman</t>
  </si>
  <si>
    <t>9fd710c1-8ad1-48df-ae35-ff8c9204f3ed</t>
  </si>
  <si>
    <t>Kyle Carrillo</t>
  </si>
  <si>
    <t>787ae9e6-245c-4870-878b-d2fd95688ff0</t>
  </si>
  <si>
    <t>Lisa Jackson</t>
  </si>
  <si>
    <t>13102410-5707-42a9-9bb8-36d5da80dcb0</t>
  </si>
  <si>
    <t>Cynthia Thompson</t>
  </si>
  <si>
    <t>f01cd65e-f910-47de-9d95-5a40a311ab86</t>
  </si>
  <si>
    <t>Dr. Dana Burgess MD</t>
  </si>
  <si>
    <t>b269d4a8-2cd6-4401-9d04-5ccdd4331800</t>
  </si>
  <si>
    <t>Sara Grimes</t>
  </si>
  <si>
    <t>502ad88d-7700-4a6c-94a1-b784a65d1483</t>
  </si>
  <si>
    <t>Stephanie Nelson</t>
  </si>
  <si>
    <t>5ee12575-19d4-4965-a893-1e19f89fc8b4</t>
  </si>
  <si>
    <t>Thomas Wilson</t>
  </si>
  <si>
    <t>fc8b176b-e849-47a3-8ea2-115a0dc1a835</t>
  </si>
  <si>
    <t>Amy Gill</t>
  </si>
  <si>
    <t>40ebdebd-3cbb-4914-9d68-87adde143c87</t>
  </si>
  <si>
    <t>Yolanda Gilmore</t>
  </si>
  <si>
    <t>ee6f3d29-4110-4562-a8e3-965f0380259e</t>
  </si>
  <si>
    <t>Bryan Green</t>
  </si>
  <si>
    <t>dbb85205-367a-4c29-9e71-b392174f5ab0</t>
  </si>
  <si>
    <t>David Wallace</t>
  </si>
  <si>
    <t>493f35ee-cce0-4211-a574-37b0f3d33704</t>
  </si>
  <si>
    <t>Carl Chapman</t>
  </si>
  <si>
    <t>fe1e0bc3-6099-4913-90b2-e9cd77ecc6b2</t>
  </si>
  <si>
    <t>Nicholas Bradley</t>
  </si>
  <si>
    <t>1b154448-f708-4575-8f4b-20749fb898fe</t>
  </si>
  <si>
    <t>Caroline Miller</t>
  </si>
  <si>
    <t>aa52f31a-7fc5-455a-9edc-e921f2e7b97e</t>
  </si>
  <si>
    <t>Kimberly Martin</t>
  </si>
  <si>
    <t>683a5df1-c8cf-4533-9ce0-05f5bfb2c10b</t>
  </si>
  <si>
    <t>Stephanie Hart</t>
  </si>
  <si>
    <t>0f7d6a22-66b1-4674-a890-64e2086978ed</t>
  </si>
  <si>
    <t>Shaun Jones</t>
  </si>
  <si>
    <t>294df0d7-1f54-4d18-b637-976a979d6b7c</t>
  </si>
  <si>
    <t>Natalie Gamble</t>
  </si>
  <si>
    <t>7462229a-4859-42f1-893a-f33c15409062</t>
  </si>
  <si>
    <t>Benjamin Frazier</t>
  </si>
  <si>
    <t>adfe3bad-8c26-4e27-8f6e-9741bfed14ff</t>
  </si>
  <si>
    <t>Megan Waters</t>
  </si>
  <si>
    <t>8d3f2e70-6ec3-4a05-99cf-f27629e95d11</t>
  </si>
  <si>
    <t>Omar Anderson</t>
  </si>
  <si>
    <t>2ab7cbb6-b1f5-44a9-82c6-2438aa776c46</t>
  </si>
  <si>
    <t>Lisa Thomas</t>
  </si>
  <si>
    <t>ecfde653-89a5-43f1-90fd-7395f80db1b3</t>
  </si>
  <si>
    <t>Deborah Jones</t>
  </si>
  <si>
    <t>04ec9d7d-23ba-4a60-a12c-b8f69ef4889a</t>
  </si>
  <si>
    <t>Stephanie Murphy</t>
  </si>
  <si>
    <t>21198a84-530d-4342-b7b7-ee2299303002</t>
  </si>
  <si>
    <t>Nancy Fox</t>
  </si>
  <si>
    <t>85af9c52-5c26-4d05-b967-e7b99d82c6ce</t>
  </si>
  <si>
    <t>Dr. Christopher Morton</t>
  </si>
  <si>
    <t>478f2ee5-4cad-4c7c-b4f9-a936a6e04597</t>
  </si>
  <si>
    <t>Jim Hall</t>
  </si>
  <si>
    <t>bb40b293-22b7-4674-8f5c-2464235eb4de</t>
  </si>
  <si>
    <t>Mark Thomas</t>
  </si>
  <si>
    <t>3a00f90a-962c-4171-9650-beb4e20ecc25</t>
  </si>
  <si>
    <t>Kevin Thompson</t>
  </si>
  <si>
    <t>6cbd143b-bfd0-4b75-b9d7-100939942775</t>
  </si>
  <si>
    <t>Nicholas Wood</t>
  </si>
  <si>
    <t>df42390e-d43f-453e-91fa-e9123d04804c</t>
  </si>
  <si>
    <t>Joel Harrington</t>
  </si>
  <si>
    <t>369a12d6-6254-4768-aa66-784c4b03512b</t>
  </si>
  <si>
    <t>David Farmer</t>
  </si>
  <si>
    <t>28dcac79-0a71-40c7-9be4-ffe653c8bae4</t>
  </si>
  <si>
    <t>Cory Sandoval</t>
  </si>
  <si>
    <t>24abf24f-d697-4a19-ba9d-3a94a000e237</t>
  </si>
  <si>
    <t>Leslie Booth</t>
  </si>
  <si>
    <t>6b572dd2-36f4-4123-9d91-a350ff68c7d6</t>
  </si>
  <si>
    <t>John Dougherty</t>
  </si>
  <si>
    <t>72820f80-3c80-4b31-a92d-86bd19f50f79</t>
  </si>
  <si>
    <t>Miss Lisa Bradley</t>
  </si>
  <si>
    <t>6b8e32e7-489d-4644-8bb9-4f779ab2a6e4</t>
  </si>
  <si>
    <t>Justin Marshall</t>
  </si>
  <si>
    <t>2fabaa47-fe5e-4f95-bce0-d4a2f7696623</t>
  </si>
  <si>
    <t>Shannon Myers</t>
  </si>
  <si>
    <t>35a5e232-287b-47b4-a06e-2e644a254366</t>
  </si>
  <si>
    <t>James Williams</t>
  </si>
  <si>
    <t>673fe081-0bb8-41be-a5f9-1833a92152c7</t>
  </si>
  <si>
    <t>Olivia Allen</t>
  </si>
  <si>
    <t>Prescribed medication to manage blood pressure and protect kidneys.</t>
  </si>
  <si>
    <t>c6abf0dd-ae38-4434-b55f-f18689caca7a</t>
  </si>
  <si>
    <t>Lucas Paul</t>
  </si>
  <si>
    <t>f929577d-e5c5-44ec-8c61-aaec2ce2d231</t>
  </si>
  <si>
    <t>Randy Johnson</t>
  </si>
  <si>
    <t>592c8a9a-16ad-435a-9514-9fac5d147903</t>
  </si>
  <si>
    <t>Tara Boyd</t>
  </si>
  <si>
    <t>1608af13-1733-41ef-b773-f43c6d2782ca</t>
  </si>
  <si>
    <t>be104834-c6e4-4b1c-9bc1-c278e27a91a0</t>
  </si>
  <si>
    <t>Maurice Gordon</t>
  </si>
  <si>
    <t>8b5e71eb-073b-4a12-a6a8-e33d1f1c5a79</t>
  </si>
  <si>
    <t>Dustin Knapp</t>
  </si>
  <si>
    <t>8c1329b5-59e6-4116-954a-88ca9cf6e7e8</t>
  </si>
  <si>
    <t>James Foster</t>
  </si>
  <si>
    <t>ac66d549-f939-4469-ac73-5a94869d96c8</t>
  </si>
  <si>
    <t>Tina Rivera</t>
  </si>
  <si>
    <t>f751594a-866b-4c07-8265-42fdb5071dcf</t>
  </si>
  <si>
    <t>Andrew Gonzalez</t>
  </si>
  <si>
    <t>b1a13982-5183-4659-b20f-67f90d4c92a2</t>
  </si>
  <si>
    <t>Maria Lucas</t>
  </si>
  <si>
    <t>79e3f17d-428e-42ab-9745-2f1fafe777d4</t>
  </si>
  <si>
    <t>Meagan Taylor</t>
  </si>
  <si>
    <t>8c6b429f-683d-4e5d-b098-7f552499c48c</t>
  </si>
  <si>
    <t>John Chapman</t>
  </si>
  <si>
    <t>06b38d1c-ba1e-4cec-9c61-44bc42b57ab8</t>
  </si>
  <si>
    <t>Joel Shaw</t>
  </si>
  <si>
    <t>6a3ad8be-9901-417a-8c62-067319e63b76</t>
  </si>
  <si>
    <t>William Davis</t>
  </si>
  <si>
    <t>484119a8-66ca-499c-ad0e-61937fe083b5</t>
  </si>
  <si>
    <t>Shirley May</t>
  </si>
  <si>
    <t>0e9e745a-03f8-4fef-ad26-f8e370dc0b14</t>
  </si>
  <si>
    <t>Katelyn Jackson</t>
  </si>
  <si>
    <t>4e092a76-0b68-4b6a-b80d-320ea327a818</t>
  </si>
  <si>
    <t>Denise Friedman</t>
  </si>
  <si>
    <t>060cc082-8b71-4497-8b35-27db45c9dbab</t>
  </si>
  <si>
    <t>Isaiah Alvarez</t>
  </si>
  <si>
    <t>b70317d0-7246-40a6-9e7d-90a94c75eb02</t>
  </si>
  <si>
    <t>Tina Scott</t>
  </si>
  <si>
    <t>bccea3ec-e992-44ea-8718-b13a91fb4f37</t>
  </si>
  <si>
    <t>Ryan Riley</t>
  </si>
  <si>
    <t>Hospitalization</t>
  </si>
  <si>
    <t>4aca09c5-3174-4687-9d96-d3990b451d04</t>
  </si>
  <si>
    <t>Grace Brown</t>
  </si>
  <si>
    <t>ad2742d9-b36d-4ba0-928a-8f8527e4c89e</t>
  </si>
  <si>
    <t>Michael Harris</t>
  </si>
  <si>
    <t>977c8b3d-bc80-4334-a270-13d02b5c3c97</t>
  </si>
  <si>
    <t>Nicholas Gill</t>
  </si>
  <si>
    <t>e8c5956b-3b60-4940-bccf-e8f196a4e8d3</t>
  </si>
  <si>
    <t>Robin Jones</t>
  </si>
  <si>
    <t>5f81a9da-4d05-4fdd-a9a5-5e212736df96</t>
  </si>
  <si>
    <t>Robert Gutierrez</t>
  </si>
  <si>
    <t>fdad6477-a5b8-4bcd-ac07-6120affbcd0b</t>
  </si>
  <si>
    <t>Charles Lucero</t>
  </si>
  <si>
    <t>cb52f8ef-35c8-4fc5-9f1f-dbda3dd53cdf</t>
  </si>
  <si>
    <t>Brianna Wallace</t>
  </si>
  <si>
    <t>3cc3c029-e319-44f8-a340-ef4e6499a727</t>
  </si>
  <si>
    <t>Shawn Murray</t>
  </si>
  <si>
    <t>c1819031-fe20-48a1-a418-b38114351138</t>
  </si>
  <si>
    <t>Ashley Shepard</t>
  </si>
  <si>
    <t>5a8a3c91-b6b3-4b63-9e95-05cd08687a95</t>
  </si>
  <si>
    <t>Pamela Bailey</t>
  </si>
  <si>
    <t>c2e72d9f-16e2-45de-9d12-c2c9cd94c84f</t>
  </si>
  <si>
    <t>Cassandra Brown</t>
  </si>
  <si>
    <t>2110a1fd-304b-421e-a58f-f86d7f8be1ee</t>
  </si>
  <si>
    <t>Erica Harrell</t>
  </si>
  <si>
    <t>aebfb842-1405-4c28-aa6a-d018239c8493</t>
  </si>
  <si>
    <t>Joseph Moran</t>
  </si>
  <si>
    <t>562beb43-1a26-46c3-937a-a99b8ee2e485</t>
  </si>
  <si>
    <t>Christine Hodge</t>
  </si>
  <si>
    <t>1093f02a-9281-4612-af16-873ee070c8a2</t>
  </si>
  <si>
    <t>Dr. Kayla Garcia</t>
  </si>
  <si>
    <t>d6f94eab-ea55-4ebc-aba6-d797b415a36a</t>
  </si>
  <si>
    <t>Kim Gutierrez</t>
  </si>
  <si>
    <t>eb906ae7-b89c-4b41-851e-69965442a0aa</t>
  </si>
  <si>
    <t>Charles Smith</t>
  </si>
  <si>
    <t>bee33117-8ab9-4d5c-89b2-9e5df6f1476c</t>
  </si>
  <si>
    <t>Marvin Irwin</t>
  </si>
  <si>
    <t>704cfc3a-69b7-4f31-a8e4-1230c711a88a</t>
  </si>
  <si>
    <t>Kyle Sutton</t>
  </si>
  <si>
    <t>0150b509-1182-4ef2-849c-a11dd546332b</t>
  </si>
  <si>
    <t>Clayton Sparks</t>
  </si>
  <si>
    <t>28425deb-d02f-4800-829b-b03491a27395</t>
  </si>
  <si>
    <t>Andrew Frye</t>
  </si>
  <si>
    <t>ed0ed882-50cf-4ac0-b325-215c05ecb9b2</t>
  </si>
  <si>
    <t>Joyce Cobb</t>
  </si>
  <si>
    <t>0f109ad0-7c40-4197-9ff4-bc6831bcb184</t>
  </si>
  <si>
    <t>Mark Ramsey</t>
  </si>
  <si>
    <t>c906d8af-c984-4eb6-96de-9d814f1b3659</t>
  </si>
  <si>
    <t>Jay Rice</t>
  </si>
  <si>
    <t>b5d05d69-fc85-498d-a503-b5d9621f07fd</t>
  </si>
  <si>
    <t>Lisa Obrien</t>
  </si>
  <si>
    <t>f4e9705d-31c4-42c7-bb0d-9dae8b56ee35</t>
  </si>
  <si>
    <t>David Malone</t>
  </si>
  <si>
    <t>b42072c3-0daa-4c11-8111-4f5724e639b6</t>
  </si>
  <si>
    <t>Ashley Mueller MD</t>
  </si>
  <si>
    <t>043a33b6-3311-4d78-838e-0aaa2b588059</t>
  </si>
  <si>
    <t>Veronica Moore</t>
  </si>
  <si>
    <t>743b1be0-9bfd-4d3b-b18c-96721caa14bc</t>
  </si>
  <si>
    <t>Nathan Phillips</t>
  </si>
  <si>
    <t>93167005-c26e-4b8f-bec9-2026504cc873</t>
  </si>
  <si>
    <t>Anthony Dean</t>
  </si>
  <si>
    <t>cccd1da0-2003-493e-b1f4-12c025c99f75</t>
  </si>
  <si>
    <t>Cynthia Sanchez</t>
  </si>
  <si>
    <t>3aa7d111-53ac-4c17-aeb9-2737328ffe38</t>
  </si>
  <si>
    <t>Sarah Horton</t>
  </si>
  <si>
    <t>152e49ba-868b-493c-aa14-2097ff97b0c4</t>
  </si>
  <si>
    <t>Daniel Carr</t>
  </si>
  <si>
    <t>0170b5eb-87bf-46ba-9fea-afe5fc86b47a</t>
  </si>
  <si>
    <t>Kristen Hill DDS</t>
  </si>
  <si>
    <t>55ecdda7-dd40-4173-89e7-5cba70b14358</t>
  </si>
  <si>
    <t>Laura Gonzales</t>
  </si>
  <si>
    <t>b55c6ba2-abcd-4625-aee9-03f28af6bdc4</t>
  </si>
  <si>
    <t>Patrick Larsen</t>
  </si>
  <si>
    <t>7541f657-43d7-4554-b26f-c030243dd01e</t>
  </si>
  <si>
    <t>Craig Sanchez</t>
  </si>
  <si>
    <t>5f3b7630-f726-47c6-a855-2041838127dc</t>
  </si>
  <si>
    <t>Sophia West</t>
  </si>
  <si>
    <t>5f7a538d-9a5c-4754-a399-da75553cdbc1</t>
  </si>
  <si>
    <t>Katie Mcdowell</t>
  </si>
  <si>
    <t>b6988bbe-0364-442a-8a0d-6ab3ca7a8cc2</t>
  </si>
  <si>
    <t>Molly Conley</t>
  </si>
  <si>
    <t>88f7733a-65e8-4e84-9d67-236887d34509</t>
  </si>
  <si>
    <t>Evan Long</t>
  </si>
  <si>
    <t>7d3cfbbc-d6ba-403a-bfe9-8dc7817bf59f</t>
  </si>
  <si>
    <t>Andrew Fuller</t>
  </si>
  <si>
    <t>adc772f9-8a5f-4bed-a333-5195c725c129</t>
  </si>
  <si>
    <t>Dr. Kristina Blake</t>
  </si>
  <si>
    <t>1256e26c-562f-4a1d-a9a3-57e6e2d037bc</t>
  </si>
  <si>
    <t>Robert Ramos</t>
  </si>
  <si>
    <t>43ac0d28-5e32-4c60-acd2-c39f79e95ef9</t>
  </si>
  <si>
    <t>William Bridges</t>
  </si>
  <si>
    <t>3e62255f-a8ff-4591-af52-0bf127d67284</t>
  </si>
  <si>
    <t>Jasmine Cruz</t>
  </si>
  <si>
    <t>fbcccc36-8b90-453d-bf60-5eb3ab0a6a03</t>
  </si>
  <si>
    <t>Stacy Garrison</t>
  </si>
  <si>
    <t>8c7bf0ae-37b4-4c5a-9d53-3aa540ed5c7f</t>
  </si>
  <si>
    <t>Mark Peters</t>
  </si>
  <si>
    <t>3c40ed4c-6fcd-45e6-97af-fe1c517f41a0</t>
  </si>
  <si>
    <t>Valerie Carter</t>
  </si>
  <si>
    <t>55965212-ce87-4eb3-89a3-530724238c0c</t>
  </si>
  <si>
    <t>Jessica Nelson</t>
  </si>
  <si>
    <t>4c970c93-185f-4e5e-97ae-9b082be51599</t>
  </si>
  <si>
    <t>Chelsea Dennis</t>
  </si>
  <si>
    <t>bfd99b50-69b5-4c25-b7e1-f47ecc133890</t>
  </si>
  <si>
    <t>Laura Hill</t>
  </si>
  <si>
    <t>63274d00-7eaf-448d-b4cc-a10418e58ac4</t>
  </si>
  <si>
    <t>Andrew Le</t>
  </si>
  <si>
    <t>d89c04a9-4b85-4ea8-a96a-0ef8efda6b1b</t>
  </si>
  <si>
    <t>Michael White</t>
  </si>
  <si>
    <t>8fe553d6-845f-4f08-b8e1-ed2d4f9c1b3b</t>
  </si>
  <si>
    <t>Jennifer Elliott</t>
  </si>
  <si>
    <t>c234750e-f95b-488e-b39c-091ce938db2b</t>
  </si>
  <si>
    <t>Rodney Brooks</t>
  </si>
  <si>
    <t>3035b7b9-7870-4c58-ae78-b3d400af0b22</t>
  </si>
  <si>
    <t>Christine Ashley</t>
  </si>
  <si>
    <t>4355ffcd-677c-4c4c-bee1-bbb41af08d61</t>
  </si>
  <si>
    <t>Brian Gomez</t>
  </si>
  <si>
    <t>c68721d0-ccda-4b7e-93de-65d1e0e2d3d2</t>
  </si>
  <si>
    <t>Michael Johnson</t>
  </si>
  <si>
    <t>c51a5f53-c94a-4f91-a9b2-a203cd2b64d1</t>
  </si>
  <si>
    <t>Sarah Andersen</t>
  </si>
  <si>
    <t>40d72816-051b-4400-a5e9-5e4d388c0d32</t>
  </si>
  <si>
    <t>Eric Spence</t>
  </si>
  <si>
    <t>1c133714-1ca4-4bf8-9008-4b911f2b009d</t>
  </si>
  <si>
    <t>Lisa Erickson</t>
  </si>
  <si>
    <t>e1f4442e-2f13-4cc7-9c3a-5f34596503e1</t>
  </si>
  <si>
    <t>Levi Todd</t>
  </si>
  <si>
    <t>e64e564d-c9e4-4e76-97aa-2bfa545fdb0e</t>
  </si>
  <si>
    <t>Christopher Mcclain</t>
  </si>
  <si>
    <t>f2a3a4c1-bf0b-4d8b-8a14-ed901bde36ca</t>
  </si>
  <si>
    <t>Laura Washington</t>
  </si>
  <si>
    <t>d65a83b3-0124-4bba-9633-273ce061d0ba</t>
  </si>
  <si>
    <t>Tracy Harvey MD</t>
  </si>
  <si>
    <t>dccb5b66-6eea-460e-af7d-8d939e0ee493</t>
  </si>
  <si>
    <t>Amy Thompson</t>
  </si>
  <si>
    <t>1ad4ff53-14bd-43d9-9f06-551827a2f46d</t>
  </si>
  <si>
    <t>Paul Juarez DDS</t>
  </si>
  <si>
    <t>34f6a994-3a6a-40fd-b8f7-b8f733d97f98</t>
  </si>
  <si>
    <t>Steven White</t>
  </si>
  <si>
    <t>960ee74c-2d85-41cf-96b3-e0f65764623f</t>
  </si>
  <si>
    <t>Latasha Tucker</t>
  </si>
  <si>
    <t>a99eae1e-1134-43ee-b1ea-38e51603541a</t>
  </si>
  <si>
    <t>Nicole Vance</t>
  </si>
  <si>
    <t>09ade64b-6dfe-4d39-b754-28fddc0b9c3f</t>
  </si>
  <si>
    <t>Joseph Carr</t>
  </si>
  <si>
    <t>761a6a7f-acf6-4f0f-b825-887b9451ac1e</t>
  </si>
  <si>
    <t>Rebecca Miller</t>
  </si>
  <si>
    <t>40390e5f-e8e1-45fa-b454-c84c7e387cdb</t>
  </si>
  <si>
    <t>Mary Dixon</t>
  </si>
  <si>
    <t>f503be99-a773-4215-9e0e-6c20591ad64e</t>
  </si>
  <si>
    <t>Chad Schroeder DDS</t>
  </si>
  <si>
    <t>52c1d2df-bc8b-4738-868d-2696af9007ca</t>
  </si>
  <si>
    <t>Tammy George</t>
  </si>
  <si>
    <t>6c11dc28-be2c-48c8-a99f-fb7d771e5ce9</t>
  </si>
  <si>
    <t>Abigail Stewart</t>
  </si>
  <si>
    <t>132c7b14-9f46-453f-8385-55fc2df8ae91</t>
  </si>
  <si>
    <t>Arthur Hardin</t>
  </si>
  <si>
    <t>0bfc5117-a75d-4d64-88c9-9146bd08f0fc</t>
  </si>
  <si>
    <t>Jordan Padilla</t>
  </si>
  <si>
    <t>49d43811-6151-408c-912f-4819b4c175fc</t>
  </si>
  <si>
    <t>Rebecca Johnson</t>
  </si>
  <si>
    <t>3d970980-b414-45e1-87c5-78a69351b4c0</t>
  </si>
  <si>
    <t>Deborah Holmes</t>
  </si>
  <si>
    <t>6a73bfc6-9133-465e-9f72-11f0fb007c9b</t>
  </si>
  <si>
    <t>Angie Meyer</t>
  </si>
  <si>
    <t>a759a3ff-deee-4161-92a2-593c0426b3a2</t>
  </si>
  <si>
    <t>Tamara Gomez</t>
  </si>
  <si>
    <t>b6471650-f5ca-40a3-977a-b765bd92eed3</t>
  </si>
  <si>
    <t>Shannon Hayes</t>
  </si>
  <si>
    <t>6f2e772b-30e7-40df-bed6-8aa61cd30bd3</t>
  </si>
  <si>
    <t>Michael Gonzalez</t>
  </si>
  <si>
    <t>32ed6be2-2358-41a7-a5ff-026bb7b9fe89</t>
  </si>
  <si>
    <t>Tammy Garcia</t>
  </si>
  <si>
    <t>3beb657d-2ef6-42bd-bd92-989791efc764</t>
  </si>
  <si>
    <t>John Ortiz</t>
  </si>
  <si>
    <t>b9547b1c-7570-4fa5-a943-c3b1ea66387b</t>
  </si>
  <si>
    <t>Russell Branch</t>
  </si>
  <si>
    <t>f672a165-fc35-42a4-a389-6198df2d2068</t>
  </si>
  <si>
    <t>Miss Tonya Anderson</t>
  </si>
  <si>
    <t>1ac81732-7afc-4e50-b20c-d95b623dd905</t>
  </si>
  <si>
    <t>Stacy Lucero</t>
  </si>
  <si>
    <t>ce245ab8-b106-4151-96a9-5a6475eb9803</t>
  </si>
  <si>
    <t>Michael Stone</t>
  </si>
  <si>
    <t>18a136c5-6b69-4fd8-a717-3030cf183a4e</t>
  </si>
  <si>
    <t>Heather Walker</t>
  </si>
  <si>
    <t>6e133629-a5f3-41c5-b50d-6a6b9430397d</t>
  </si>
  <si>
    <t>Peggy Stokes</t>
  </si>
  <si>
    <t>92200470-b2de-4fca-90cc-6ae09c31e81f</t>
  </si>
  <si>
    <t>Kelsey Miller</t>
  </si>
  <si>
    <t>bb13c2a3-ac1c-40ee-8e3f-34b4281ec460</t>
  </si>
  <si>
    <t>Janet Pope DDS</t>
  </si>
  <si>
    <t>f766a4fd-63af-4536-b44f-1aa42c8b097f</t>
  </si>
  <si>
    <t>Jill Walker</t>
  </si>
  <si>
    <t>68aa6ab9-923f-4c67-9f8b-2b250b930809</t>
  </si>
  <si>
    <t>Matthew Henry</t>
  </si>
  <si>
    <t>Ice</t>
  </si>
  <si>
    <t>c754c929-71f4-47f2-b8fa-741ee84a4829</t>
  </si>
  <si>
    <t>Mark Phillips</t>
  </si>
  <si>
    <t>2fae4f0d-d207-4aac-957a-dbbb146fb30b</t>
  </si>
  <si>
    <t>James Middleton</t>
  </si>
  <si>
    <t>f082337f-326b-47df-b2f8-cf24e98abd9c</t>
  </si>
  <si>
    <t>Shannon Mcknight</t>
  </si>
  <si>
    <t>aba865b1-5818-4719-9bd5-2ff902292a0a</t>
  </si>
  <si>
    <t>Angela Hawkins</t>
  </si>
  <si>
    <t>9f9eaf7b-974e-44ee-a1c5-808833e10c83</t>
  </si>
  <si>
    <t>Amber Roberts</t>
  </si>
  <si>
    <t>8582939a-0a40-4c78-a97a-76391a277953</t>
  </si>
  <si>
    <t>Chase Kim</t>
  </si>
  <si>
    <t>e4fad67d-f6ca-49f9-b0bd-6578a3956bcd</t>
  </si>
  <si>
    <t>Mr. Richard Garner</t>
  </si>
  <si>
    <t>f38c66fd-b307-4451-abd6-1d7c35f0fc18</t>
  </si>
  <si>
    <t>Kevin Harris</t>
  </si>
  <si>
    <t>bf2e8058-fc43-4cef-b0f4-ec91f9f2a08d</t>
  </si>
  <si>
    <t>Hannah Jones</t>
  </si>
  <si>
    <t>f4a8657f-196b-4856-b774-d99eb27a19c9</t>
  </si>
  <si>
    <t>Christina Jones</t>
  </si>
  <si>
    <t>3cde4395-fb05-4d92-8786-9a7c2ebb77c0</t>
  </si>
  <si>
    <t>Stephen Moore</t>
  </si>
  <si>
    <t>f4f8bd60-6b83-4958-a0c0-7694f3b9f035</t>
  </si>
  <si>
    <t>Lori Black</t>
  </si>
  <si>
    <t>9588d105-7bbc-4ebb-a5ab-2e23adbe56a8</t>
  </si>
  <si>
    <t>Jennifer Reyes</t>
  </si>
  <si>
    <t>7cc1c13b-c0b6-4bf6-bbaf-960e8e878d8b</t>
  </si>
  <si>
    <t>Catherine Jones</t>
  </si>
  <si>
    <t>8bb287ea-11c4-4af4-b721-479ea04de465</t>
  </si>
  <si>
    <t>Kelly Henry</t>
  </si>
  <si>
    <t>38f046f5-a8d2-405a-bf55-96e22661f5c8</t>
  </si>
  <si>
    <t>Heather Vincent</t>
  </si>
  <si>
    <t>f282822e-bad5-4937-96b7-eb3cb56f03b3</t>
  </si>
  <si>
    <t>Hunter Stone</t>
  </si>
  <si>
    <t>6ca1f52d-57f7-4f93-8564-27e35810c3e6</t>
  </si>
  <si>
    <t>Kyle Johnson</t>
  </si>
  <si>
    <t>c52b3462-a87f-4e17-ac99-90838c9c8d54</t>
  </si>
  <si>
    <t>Lisa Green</t>
  </si>
  <si>
    <t>13c8a214-940f-40ff-9fa2-cf1285644752</t>
  </si>
  <si>
    <t>Amanda Faulkner</t>
  </si>
  <si>
    <t>3aba0c69-2934-4741-8120-5b34197714cc</t>
  </si>
  <si>
    <t>Zachary Wright</t>
  </si>
  <si>
    <t>f7ae99c6-147a-4a70-b1ef-ac2bf87491ba</t>
  </si>
  <si>
    <t>Adriana Davis</t>
  </si>
  <si>
    <t>806ac7bd-badb-4820-9b30-b728e9a75de7</t>
  </si>
  <si>
    <t>Jessica Cox</t>
  </si>
  <si>
    <t>77ed7075-2c89-4ab2-b9f7-027f1c70d173</t>
  </si>
  <si>
    <t>a5808e62-7f74-459a-bf94-d7bd8ea875ca</t>
  </si>
  <si>
    <t>John Whitehead</t>
  </si>
  <si>
    <t>7411d34c-a42e-43b4-b844-7b027bd370f2</t>
  </si>
  <si>
    <t>Jason Adams</t>
  </si>
  <si>
    <t>feeea5a0-0b38-450f-a9dd-e01d3e553913</t>
  </si>
  <si>
    <t>Mercedes Webb</t>
  </si>
  <si>
    <t>592d41b8-4497-4918-89a6-d111f78f545e</t>
  </si>
  <si>
    <t>Sara Kirby</t>
  </si>
  <si>
    <t>488d54a2-b5b3-4b7a-b8fe-f82d6027bc9b</t>
  </si>
  <si>
    <t>Jessica Watson</t>
  </si>
  <si>
    <t>5ab9cf73-640f-4869-a181-8bf01b76d840</t>
  </si>
  <si>
    <t>Robert Richards</t>
  </si>
  <si>
    <t>8e82ce56-706c-4dd0-9684-4aa9ae17fcab</t>
  </si>
  <si>
    <t>Amber Gomez</t>
  </si>
  <si>
    <t>bd5060af-b7bc-420a-886b-c7886f770bde</t>
  </si>
  <si>
    <t>Robert Horn</t>
  </si>
  <si>
    <t>3b0b5b91-ce6b-4032-80b8-76e54a8f7c29</t>
  </si>
  <si>
    <t>John Rice</t>
  </si>
  <si>
    <t>ec46d784-abc2-46d3-8164-c04f8d11b2fa</t>
  </si>
  <si>
    <t>Matthew Reynolds</t>
  </si>
  <si>
    <t>a5e3eac5-03a7-436a-aa16-eb0ad1b6d12b</t>
  </si>
  <si>
    <t>Tiffany Hart</t>
  </si>
  <si>
    <t>af81b52d-1a44-4620-80b7-086c6ca79f70</t>
  </si>
  <si>
    <t>Christine Robinson</t>
  </si>
  <si>
    <t>d38e1c48-a10a-4c5d-b046-24fa1506c726</t>
  </si>
  <si>
    <t>Erika Fox</t>
  </si>
  <si>
    <t>8886ed8d-efe5-47c6-acc1-b5d1ae399c15</t>
  </si>
  <si>
    <t>Jennifer Jones</t>
  </si>
  <si>
    <t>e04c8819-cca4-42fb-8ba8-e43b19bdea8a</t>
  </si>
  <si>
    <t>Jessica Fitzgerald</t>
  </si>
  <si>
    <t>3578865c-c245-45ab-ba82-5271d762990c</t>
  </si>
  <si>
    <t>Daniel Robinson</t>
  </si>
  <si>
    <t>1c9695c2-783a-4734-9b09-7ceea4530878</t>
  </si>
  <si>
    <t>Heather Duncan</t>
  </si>
  <si>
    <t>12de7918-1d1c-4c9e-b7cb-e6ab09d3bdf0</t>
  </si>
  <si>
    <t>David Booker</t>
  </si>
  <si>
    <t>ddd7f429-34bb-4b89-9a0d-2b25cc5f1150</t>
  </si>
  <si>
    <t>David Navarro</t>
  </si>
  <si>
    <t>cf629ab7-d8c9-4501-89e2-39987bd2eea0</t>
  </si>
  <si>
    <t>Melissa Clark</t>
  </si>
  <si>
    <t>58db27d8-80d2-4c22-8d93-aedb906b9076</t>
  </si>
  <si>
    <t>Nicholas Moreno</t>
  </si>
  <si>
    <t>48b2fcd4-d020-457c-97fe-cca0f5d849e4</t>
  </si>
  <si>
    <t>Janice Rivera</t>
  </si>
  <si>
    <t>9a7cd9b4-e39a-487b-b511-55d43714c914</t>
  </si>
  <si>
    <t>Sharon Lewis</t>
  </si>
  <si>
    <t>33cef9a9-2d29-4dd5-83e8-763cc77ad03f</t>
  </si>
  <si>
    <t>Heather Williams</t>
  </si>
  <si>
    <t>2bae588e-b82c-41dd-a28c-94c836eb42bc</t>
  </si>
  <si>
    <t>Bernard Monroe</t>
  </si>
  <si>
    <t>ddef52d2-7c7d-4d4a-be24-db2c33ce2ec5</t>
  </si>
  <si>
    <t>Rebecca Mccoy</t>
  </si>
  <si>
    <t>0672e31b-2394-490d-8d12-efd38a8078ca</t>
  </si>
  <si>
    <t>Katherine Lara</t>
  </si>
  <si>
    <t>06bd122e-c961-4271-a44a-1b001cd28bc3</t>
  </si>
  <si>
    <t>John Williams</t>
  </si>
  <si>
    <t>b6fbf853-4512-4818-954c-a80fa7ad9878</t>
  </si>
  <si>
    <t>Margaret Myers</t>
  </si>
  <si>
    <t>ee49e113-1e2e-48c1-84de-d77de58d0f5b</t>
  </si>
  <si>
    <t>Norman Goodwin</t>
  </si>
  <si>
    <t>24d9adf5-b2d6-4f49-b84b-1b2402d943a3</t>
  </si>
  <si>
    <t>Joshua Banks</t>
  </si>
  <si>
    <t>dfa0fa63-93b8-4e16-8e69-01edc2076a83</t>
  </si>
  <si>
    <t>Cameron Haney</t>
  </si>
  <si>
    <t>88477085-ecfb-45c4-bb9c-11775ad9f6bc</t>
  </si>
  <si>
    <t>581d5cf6-914b-4af2-a0bc-561c65e335c4</t>
  </si>
  <si>
    <t>Jessica Rivera</t>
  </si>
  <si>
    <t>26a7e264-7e6f-4219-a762-7d021f81df09</t>
  </si>
  <si>
    <t>Christopher Barber</t>
  </si>
  <si>
    <t>66e07bb0-db71-4bbe-b31e-0de29739db96</t>
  </si>
  <si>
    <t>Travis Daniel</t>
  </si>
  <si>
    <t>3274a803-88f6-46dd-9906-fae3b63366c8</t>
  </si>
  <si>
    <t>Laura Gray</t>
  </si>
  <si>
    <t>4adc8377-37ba-4b8a-b090-8ae264433199</t>
  </si>
  <si>
    <t>Charles Clark</t>
  </si>
  <si>
    <t>f2c8f33f-c6c9-4c56-bf48-76a61c11af77</t>
  </si>
  <si>
    <t>Anthony Archer</t>
  </si>
  <si>
    <t>76b00d2d-a508-4ecc-86a6-343784d270a3</t>
  </si>
  <si>
    <t>Justin Parker</t>
  </si>
  <si>
    <t>d45e635e-7861-4f6f-909b-9415bbb63602</t>
  </si>
  <si>
    <t>Patrick Miller</t>
  </si>
  <si>
    <t>e29b5087-af30-43c6-8678-9100875df611</t>
  </si>
  <si>
    <t>Robert Rodriguez</t>
  </si>
  <si>
    <t>46fb8d08-4a27-41d5-a0f2-28f15f75c5d9</t>
  </si>
  <si>
    <t>John Gomez</t>
  </si>
  <si>
    <t>74c6fd95-dbda-465e-888f-dab230f48fb0</t>
  </si>
  <si>
    <t>Debra Kim</t>
  </si>
  <si>
    <t>8480d3f2-150e-4ec5-b3ad-23c965d01dfe</t>
  </si>
  <si>
    <t>Duane Willis</t>
  </si>
  <si>
    <t>58c3dc22-f62b-4b2b-bd8f-816ca1053ada</t>
  </si>
  <si>
    <t>Michele Porter</t>
  </si>
  <si>
    <t>95ae272a-fffb-47ec-842a-7929eb826e7b</t>
  </si>
  <si>
    <t>Stephanie Castillo</t>
  </si>
  <si>
    <t>8b81bf12-2f4a-4a9b-a8fb-cb69738e3fa7</t>
  </si>
  <si>
    <t>Jordan Mitchell</t>
  </si>
  <si>
    <t>41e07b05-c70a-4479-a0a8-3de8fca5c18f</t>
  </si>
  <si>
    <t>Terry Kaufman</t>
  </si>
  <si>
    <t>ff7facdb-6bbf-411c-94f8-5c96899b0865</t>
  </si>
  <si>
    <t>James Howard</t>
  </si>
  <si>
    <t>b1858df0-2a08-4f0b-96a6-295d695f1507</t>
  </si>
  <si>
    <t>Michelle Stewart</t>
  </si>
  <si>
    <t>9fd0ea73-76c1-47d0-9507-056072a89cdd</t>
  </si>
  <si>
    <t>Jo Rios</t>
  </si>
  <si>
    <t>daa5035e-feff-4356-bbc5-c0449e738a44</t>
  </si>
  <si>
    <t>Katherine Fletcher</t>
  </si>
  <si>
    <t>3220aaaa-5921-4f7c-ba71-be218d6bef59</t>
  </si>
  <si>
    <t>Stephen Soto</t>
  </si>
  <si>
    <t>d480299f-99f1-43fe-aabc-ce31e0710db9</t>
  </si>
  <si>
    <t>Tina Miranda</t>
  </si>
  <si>
    <t>8e5bdc26-1dd5-4b3c-bf3d-4ae63aea00ca</t>
  </si>
  <si>
    <t>Belinda Mclean</t>
  </si>
  <si>
    <t>ed79652b-1eef-4e04-8e4b-1a0649d08e5a</t>
  </si>
  <si>
    <t>Brian Browning</t>
  </si>
  <si>
    <t>ee00b8df-dee0-467a-a75b-d08ee93a481e</t>
  </si>
  <si>
    <t>Diane Williams</t>
  </si>
  <si>
    <t>7c494f94-973e-4e59-8c1d-e04c863d379c</t>
  </si>
  <si>
    <t>Colleen Miles</t>
  </si>
  <si>
    <t>e4aad7e6-19ff-438c-b3cf-c1655b3d9172</t>
  </si>
  <si>
    <t>Ana Warren</t>
  </si>
  <si>
    <t>6d8f9366-8f2d-4b07-9f81-c2b68a84cd40</t>
  </si>
  <si>
    <t>Alan Lloyd</t>
  </si>
  <si>
    <t>525298e9-90b0-40e9-9175-7d873d7c18e3</t>
  </si>
  <si>
    <t>Virginia Shields</t>
  </si>
  <si>
    <t>566af25d-dc49-472f-8728-c5eda762b23f</t>
  </si>
  <si>
    <t>Jacob Spencer</t>
  </si>
  <si>
    <t>263b5bd2-be19-4d07-a54b-afce09506604</t>
  </si>
  <si>
    <t>Stephanie Mcdowell</t>
  </si>
  <si>
    <t>784c64c0-055c-49cf-9323-8fe6795e813f</t>
  </si>
  <si>
    <t>Holly Rosario</t>
  </si>
  <si>
    <t>140770e2-f230-4604-affd-dad85bad4f6d</t>
  </si>
  <si>
    <t>Cheryl Spencer</t>
  </si>
  <si>
    <t>97ff8199-325d-46d5-bf82-88f63b32a4c0</t>
  </si>
  <si>
    <t>George Hoffman</t>
  </si>
  <si>
    <t>951a45ad-865e-40e1-95a8-ca772715fb73</t>
  </si>
  <si>
    <t>Mackenzie Holt</t>
  </si>
  <si>
    <t>1aa907bb-fe69-4fb7-ba78-d544a4c74115</t>
  </si>
  <si>
    <t>Matthew Graham</t>
  </si>
  <si>
    <t>039968d9-3301-4020-b8aa-eb8d12e6fb65</t>
  </si>
  <si>
    <t>Mark Williams</t>
  </si>
  <si>
    <t>0893db29-4e66-4c90-b7fe-638135bf5ae6</t>
  </si>
  <si>
    <t>Courtney Lopez</t>
  </si>
  <si>
    <t>98e75548-b935-49b8-a982-59d03f0e5da4</t>
  </si>
  <si>
    <t>Lisa Bond</t>
  </si>
  <si>
    <t>2918e681-473b-4bfe-afce-82f06f4de077</t>
  </si>
  <si>
    <t>Janice Neal</t>
  </si>
  <si>
    <t>6a49943f-3b5b-4b8e-a07e-461df90def8a</t>
  </si>
  <si>
    <t>Nicholas Greene</t>
  </si>
  <si>
    <t>89ac0664-a479-400e-8ea5-544d5c72c412</t>
  </si>
  <si>
    <t>Michael Webb</t>
  </si>
  <si>
    <t>30c25fbe-e943-4c22-a72f-7f7e9c2103ef</t>
  </si>
  <si>
    <t>Amber Moody</t>
  </si>
  <si>
    <t>93ef3d90-a82d-4abb-a74d-26a7861dbf25</t>
  </si>
  <si>
    <t>Ashley Reeves</t>
  </si>
  <si>
    <t>38dc8895-3c35-4a2d-9edb-10b581b1a6f7</t>
  </si>
  <si>
    <t>Christopher Bailey</t>
  </si>
  <si>
    <t>537ec85d-550e-403d-b5ed-9438eb636ff4</t>
  </si>
  <si>
    <t>Austin Nguyen</t>
  </si>
  <si>
    <t>fe071aa7-5ad9-4060-bef7-4feeb8253d41</t>
  </si>
  <si>
    <t>Michael Keller</t>
  </si>
  <si>
    <t>c7a84140-894f-4242-a63e-3cbb2873c6d5</t>
  </si>
  <si>
    <t>Angela Holland</t>
  </si>
  <si>
    <t>c7bd21d2-c081-4633-8994-1bf9579bc1a6</t>
  </si>
  <si>
    <t>Desiree Jefferson</t>
  </si>
  <si>
    <t>417c73a0-0f95-46b4-a0cd-dbf48079eb1b</t>
  </si>
  <si>
    <t>John Smith MD</t>
  </si>
  <si>
    <t>b839c1b8-16a8-41f2-8e7d-77849028d58c</t>
  </si>
  <si>
    <t>Laura Hughes</t>
  </si>
  <si>
    <t>720a3a8a-5340-4e63-8c42-105adc72486c</t>
  </si>
  <si>
    <t>Brooke Miller</t>
  </si>
  <si>
    <t>6d0d487f-0dc0-4c11-86d4-ce002b802f75</t>
  </si>
  <si>
    <t>Brandon Sherman</t>
  </si>
  <si>
    <t>88eb7253-9fb7-42cb-9548-915e0aa9a516</t>
  </si>
  <si>
    <t>Xavier Lara</t>
  </si>
  <si>
    <t>9caf3002-6f42-415e-8b4d-39ee09a5b925</t>
  </si>
  <si>
    <t>Robert Thornton</t>
  </si>
  <si>
    <t>7e871717-f3bb-4900-8c82-2707e2f0763f</t>
  </si>
  <si>
    <t>Charles Cooper</t>
  </si>
  <si>
    <t>744dd4cf-9df0-45e0-b002-fdf71b3bd262</t>
  </si>
  <si>
    <t>Hector Arias</t>
  </si>
  <si>
    <t>5cb11692-ae91-4bc1-baf2-38449ac9c28f</t>
  </si>
  <si>
    <t>Jamie Wright</t>
  </si>
  <si>
    <t>2518beb3-0b40-42e3-9984-6e60fc6aaf06</t>
  </si>
  <si>
    <t>James Morgan</t>
  </si>
  <si>
    <t>4aa8fb1d-2e7a-4a8d-bd88-60768877273f</t>
  </si>
  <si>
    <t>Laura Velasquez</t>
  </si>
  <si>
    <t>2af6a789-36bd-4137-9d48-ca701948e8a3</t>
  </si>
  <si>
    <t>Mary Townsend</t>
  </si>
  <si>
    <t>e2f40dd9-0f8f-4d8a-ae63-e3560488e3df</t>
  </si>
  <si>
    <t>Raymond Blake</t>
  </si>
  <si>
    <t>190aefdd-802c-47a9-a454-25c4434b1d6e</t>
  </si>
  <si>
    <t>Cynthia Harvey</t>
  </si>
  <si>
    <t>053cfbb4-e309-48f3-8147-ee2f9e70b621</t>
  </si>
  <si>
    <t>Christina Maldonado</t>
  </si>
  <si>
    <t>9da3ffd2-b27b-4e63-921c-2cc4b370c061</t>
  </si>
  <si>
    <t>Courtney Cook</t>
  </si>
  <si>
    <t>f799c1c5-fffb-45ab-8485-a74991f1c4ec</t>
  </si>
  <si>
    <t>Michelle Davenport</t>
  </si>
  <si>
    <t>0d76f459-9839-4edb-87cd-06dc2ab39fad</t>
  </si>
  <si>
    <t>Jeffrey Burns DDS</t>
  </si>
  <si>
    <t>e9a65edf-c7c8-4abb-96a9-fad105724257</t>
  </si>
  <si>
    <t>Laura Walter</t>
  </si>
  <si>
    <t>93096cc2-89ca-45f7-b14d-f681eb1a1f0b</t>
  </si>
  <si>
    <t>Robin Weaver</t>
  </si>
  <si>
    <t>60f693eb-a10f-4513-84f9-5952bdedbde2</t>
  </si>
  <si>
    <t>Kim Myers</t>
  </si>
  <si>
    <t>a4f7b0c7-5e10-4f15-958a-a9ebe36ec899</t>
  </si>
  <si>
    <t>Jeremy Moses</t>
  </si>
  <si>
    <t>539c7b32-4288-432d-9373-f4a2f8d22c31</t>
  </si>
  <si>
    <t>Patricia Daniel</t>
  </si>
  <si>
    <t>b60511f9-c9c0-4fe3-889e-0634f3d3cea2</t>
  </si>
  <si>
    <t>Jonathan Martinez</t>
  </si>
  <si>
    <t>64c5dba7-3adc-40f7-a697-a1a9e0c6c340</t>
  </si>
  <si>
    <t>Deanna Lucas</t>
  </si>
  <si>
    <t>02c0867f-f4d9-4523-a599-3986da459865</t>
  </si>
  <si>
    <t>Kristy Briggs</t>
  </si>
  <si>
    <t>90636261-03c9-4d04-90a1-f67543933fc1</t>
  </si>
  <si>
    <t>Christopher Gray</t>
  </si>
  <si>
    <t>000c203f-0b78-4cab-9a55-75b34624fb3a</t>
  </si>
  <si>
    <t>James Dyer</t>
  </si>
  <si>
    <t>10d3941b-895f-42b2-b1de-e689575da2a8</t>
  </si>
  <si>
    <t>Christine Garcia</t>
  </si>
  <si>
    <t>33b2a39f-8fde-4997-a63c-17a0a3552237</t>
  </si>
  <si>
    <t>David Brown</t>
  </si>
  <si>
    <t>9d7cb10a-ab4b-4c5c-8c06-064188aeaa06</t>
  </si>
  <si>
    <t>Michael Wilson Jr.</t>
  </si>
  <si>
    <t>1c969cfc-5cbe-4c26-a001-c6c6fac3ea26</t>
  </si>
  <si>
    <t>Ryan Campos</t>
  </si>
  <si>
    <t>e6875809-6edc-4e62-b1ae-c10c36d5c5a1</t>
  </si>
  <si>
    <t>Kimberly Walker</t>
  </si>
  <si>
    <t>038a90a9-5472-4d58-8985-ac5bcb662e1d</t>
  </si>
  <si>
    <t>Michael Ochoa</t>
  </si>
  <si>
    <t>388c0caa-f97e-4358-8a13-0edc77f601ec</t>
  </si>
  <si>
    <t>Nancy Payne</t>
  </si>
  <si>
    <t>297a0016-8ce9-4276-9742-78677411b3d5</t>
  </si>
  <si>
    <t>Beth Leblanc</t>
  </si>
  <si>
    <t>8ab5c984-076e-4adf-99e7-365d77624c3b</t>
  </si>
  <si>
    <t>Timothy Hunter</t>
  </si>
  <si>
    <t>f5469f2e-014d-4bb0-b4ed-41033682d87e</t>
  </si>
  <si>
    <t>Adriana Johnson</t>
  </si>
  <si>
    <t>4a0029f7-df5a-47ab-afeb-4a8c6c5be808</t>
  </si>
  <si>
    <t>Tiffany Clark</t>
  </si>
  <si>
    <t>b668726e-a948-4645-96ab-aad620d3f0c1</t>
  </si>
  <si>
    <t>Samantha Gonzalez</t>
  </si>
  <si>
    <t>44f7f36e-03e7-4d6c-9f44-cf2d01b93ebb</t>
  </si>
  <si>
    <t>Wayne Mendoza</t>
  </si>
  <si>
    <t>aea40c02-1761-4da2-bd2f-0ecf0ef35a19</t>
  </si>
  <si>
    <t>Angela Hayes</t>
  </si>
  <si>
    <t>45bf115d-e2e1-4c75-a8de-cb2fa26e5114</t>
  </si>
  <si>
    <t>Krystal Wilson</t>
  </si>
  <si>
    <t>c23e1d5c-6c1f-4cb6-bdc0-7be1f9e2118c</t>
  </si>
  <si>
    <t>Thomas Nicholson</t>
  </si>
  <si>
    <t>487e66fb-85cd-4401-8e83-7a2f22a98507</t>
  </si>
  <si>
    <t>Joseph Nelson</t>
  </si>
  <si>
    <t>916807ad-cf61-4482-8727-6b5bce7804d1</t>
  </si>
  <si>
    <t>Christine Gutierrez</t>
  </si>
  <si>
    <t>e46941cc-9f86-49d8-a628-86c919d663ea</t>
  </si>
  <si>
    <t>Curtis Cox</t>
  </si>
  <si>
    <t>d23b1634-0a96-48a2-9dd4-76367915fc04</t>
  </si>
  <si>
    <t>Kevin Holland</t>
  </si>
  <si>
    <t>d1385858-6e62-444c-8a08-5cf985337a4f</t>
  </si>
  <si>
    <t>Lisa Perez</t>
  </si>
  <si>
    <t>1ee3057e-f1a7-4657-844b-a07e63ffdf74</t>
  </si>
  <si>
    <t>Roger Cardenas</t>
  </si>
  <si>
    <t>6326bb78-cb5d-47fc-b90a-25618cade060</t>
  </si>
  <si>
    <t>Thomas Kennedy</t>
  </si>
  <si>
    <t>7ec24c12-3322-4ad5-9358-43399253a89b</t>
  </si>
  <si>
    <t>Mr. Spencer Cannon</t>
  </si>
  <si>
    <t>2e59f88a-dafb-49cb-9fed-06b037259132</t>
  </si>
  <si>
    <t>Leslie Wilson</t>
  </si>
  <si>
    <t>dfb895e0-4b05-4454-897f-db12a910e510</t>
  </si>
  <si>
    <t>Cynthia Schmidt</t>
  </si>
  <si>
    <t>06386535-8ec1-4462-aa34-bf43786e1f68</t>
  </si>
  <si>
    <t>Taylor Henderson</t>
  </si>
  <si>
    <t>07e9ce02-8109-4a0c-99bc-700e1644e279</t>
  </si>
  <si>
    <t>Michelle White</t>
  </si>
  <si>
    <t>3758b02b-920b-460f-bc02-c30fcdd28ce2</t>
  </si>
  <si>
    <t>Rebecca Stevenson</t>
  </si>
  <si>
    <t>2ab7eae4-e652-4cc5-9d90-a99331aac5fd</t>
  </si>
  <si>
    <t>Lindsey Freeman</t>
  </si>
  <si>
    <t>88961dc8-615d-494b-9c3a-19f3cf95ba04</t>
  </si>
  <si>
    <t>Katelyn Conway</t>
  </si>
  <si>
    <t>6f12ff37-716c-4bfe-877a-64d97fe3e31e</t>
  </si>
  <si>
    <t>Tara Smith</t>
  </si>
  <si>
    <t>9ad54d16-de54-4186-b62c-bdce1f894d50</t>
  </si>
  <si>
    <t>Timothy Little</t>
  </si>
  <si>
    <t>ba0554f1-ba03-4e46-b43f-309fee0680ed</t>
  </si>
  <si>
    <t>Kenneth Murphy</t>
  </si>
  <si>
    <t>e5efda46-34b1-4d3d-9f1e-9c7316299c37</t>
  </si>
  <si>
    <t>Krista Sanchez</t>
  </si>
  <si>
    <t>c4af47e4-81e8-4ac1-b33a-f60d9c6ad4b9</t>
  </si>
  <si>
    <t>Elizabeth Richardson</t>
  </si>
  <si>
    <t>7a83ada5-c565-4bb0-a7c8-07ed22fc8c16</t>
  </si>
  <si>
    <t>Susan Reyes</t>
  </si>
  <si>
    <t>3d0a7160-dca4-4ea0-af94-4cd3f6092524</t>
  </si>
  <si>
    <t>John Mclaughlin</t>
  </si>
  <si>
    <t>7c29f670-ce4d-47ad-a7a4-c4e0372a3a49</t>
  </si>
  <si>
    <t>Dr. Bradley Pierce</t>
  </si>
  <si>
    <t>2d524e8d-2156-4714-a053-5e40ff76e0f1</t>
  </si>
  <si>
    <t>Sylvia Watts</t>
  </si>
  <si>
    <t>fc30ca90-9054-42fd-b16a-a4afabff0965</t>
  </si>
  <si>
    <t>Aaron Nguyen</t>
  </si>
  <si>
    <t>3b50c495-6d5d-43a9-a92f-28e7f3ca500e</t>
  </si>
  <si>
    <t>Tiffany Gay</t>
  </si>
  <si>
    <t>e29a7c21-21e4-470f-a46f-7d95a622150b</t>
  </si>
  <si>
    <t>Russell Kelley</t>
  </si>
  <si>
    <t>0defc61c-05ab-4779-ad88-37482ce2b0fa</t>
  </si>
  <si>
    <t>Carrie Mcfarland</t>
  </si>
  <si>
    <t>1e2c30d6-9193-40d7-9dfe-fa3a509fe1c3</t>
  </si>
  <si>
    <t>Christina West</t>
  </si>
  <si>
    <t>40524e2c-6430-463c-8faf-d369b3fddd9e</t>
  </si>
  <si>
    <t>Tiffany Williams</t>
  </si>
  <si>
    <t>ee18154d-7ba8-4b82-a554-44edd0f83523</t>
  </si>
  <si>
    <t>Joshua Bates</t>
  </si>
  <si>
    <t>a0883235-33be-48bc-a7a6-e18d535f1398</t>
  </si>
  <si>
    <t>Hannah Sanchez</t>
  </si>
  <si>
    <t>2f090e2b-f249-4fc6-9a16-ec73eb1be554</t>
  </si>
  <si>
    <t>Rachel Hill</t>
  </si>
  <si>
    <t>c50a5c30-2b2e-4b30-a797-5dbcb6a4206d</t>
  </si>
  <si>
    <t>Tricia Williams</t>
  </si>
  <si>
    <t>0ef71978-c2b6-4bdf-8087-d44fec088443</t>
  </si>
  <si>
    <t>Stephen Richardson</t>
  </si>
  <si>
    <t>a81a5042-e3aa-4b8a-89db-7c2bd0b8acf0</t>
  </si>
  <si>
    <t>Wesley Jensen</t>
  </si>
  <si>
    <t>086376f1-f701-42a8-92a6-021b1e84b841</t>
  </si>
  <si>
    <t>Jennifer Patel</t>
  </si>
  <si>
    <t>764bac43-1f54-4076-a5f2-ce82d46aef92</t>
  </si>
  <si>
    <t>Stacy Johnson</t>
  </si>
  <si>
    <t>c62df06e-121f-4044-8b26-cc8763a0136d</t>
  </si>
  <si>
    <t>Lisa Caldwell</t>
  </si>
  <si>
    <t>c7949473-5224-4575-a4db-3c961c51ec33</t>
  </si>
  <si>
    <t>Mr. Steven Green</t>
  </si>
  <si>
    <t>7674e861-d7ad-438f-9257-41116bff61f0</t>
  </si>
  <si>
    <t>Laura Allen</t>
  </si>
  <si>
    <t>152f63bc-c232-4283-a23a-31cc6df85745</t>
  </si>
  <si>
    <t>Elizabeth Doyle</t>
  </si>
  <si>
    <t>26d2ad27-6e83-4c92-bc93-7465e0a06e5a</t>
  </si>
  <si>
    <t>Jennifer King</t>
  </si>
  <si>
    <t>e27c0bab-07fa-48c7-b9d3-332c6641b9b1</t>
  </si>
  <si>
    <t>Desiree Novak</t>
  </si>
  <si>
    <t>318822d0-4a2d-4ae1-bfa3-7eb137c510ef</t>
  </si>
  <si>
    <t>Joshua Hayes</t>
  </si>
  <si>
    <t>b1e47d2b-c783-4fa0-bde3-4ae86619b791</t>
  </si>
  <si>
    <t>Donald Martinez</t>
  </si>
  <si>
    <t>134adad0-2803-4d76-8dc3-18813a1c30d9</t>
  </si>
  <si>
    <t>Jamie Thompson</t>
  </si>
  <si>
    <t>2aac91d5-4873-45b7-9f9a-f6cd228c7f0a</t>
  </si>
  <si>
    <t>Mrs. Casey Payne DDS</t>
  </si>
  <si>
    <t>58778757-e19f-4fe0-8a80-5655e8078e9a</t>
  </si>
  <si>
    <t>Elizabeth Miller</t>
  </si>
  <si>
    <t>10a1515a-acd7-4ae9-8cc2-af3ad8dcf61f</t>
  </si>
  <si>
    <t>Cameron Kramer</t>
  </si>
  <si>
    <t>31289361-4ffe-4e44-91df-b719435286b8</t>
  </si>
  <si>
    <t>Brian May</t>
  </si>
  <si>
    <t>70c14715-9271-4417-b6fd-0c88c74e3c91</t>
  </si>
  <si>
    <t>Laura Lambert</t>
  </si>
  <si>
    <t>d5f33ab1-8223-4315-9990-dcee9fa09728</t>
  </si>
  <si>
    <t>Erin Daniels</t>
  </si>
  <si>
    <t>ab01271a-7eaf-4abc-b58f-199b672126e4</t>
  </si>
  <si>
    <t>Maurice Allen</t>
  </si>
  <si>
    <t>1b2f8fd3-8d39-4a83-9c22-7edf1b0b619f</t>
  </si>
  <si>
    <t>Christy Kim</t>
  </si>
  <si>
    <t>0ec81113-5bba-40c3-8d92-69b25fbac6b0</t>
  </si>
  <si>
    <t>Andrea Fitzgerald</t>
  </si>
  <si>
    <t>c5232c05-240f-4c69-8dda-8eb99f8a3f09</t>
  </si>
  <si>
    <t>Robert Miller</t>
  </si>
  <si>
    <t>a0e2bab0-bf41-4ea1-8336-68b15c2bc683</t>
  </si>
  <si>
    <t>Patrick Watson</t>
  </si>
  <si>
    <t>8eb76d24-8e4c-41ab-9111-f51f2e899ecb</t>
  </si>
  <si>
    <t>Rick Gonzales</t>
  </si>
  <si>
    <t>bb2af2c6-fec4-4d5c-99ae-c747f419d6ca</t>
  </si>
  <si>
    <t>Sharon Williams</t>
  </si>
  <si>
    <t>4b53dbbf-85a8-4f04-b906-6c5630191794</t>
  </si>
  <si>
    <t>Brandi Davis</t>
  </si>
  <si>
    <t>4db18f9b-05a1-431f-8274-0de6811dbca1</t>
  </si>
  <si>
    <t>Michael Gutierrez</t>
  </si>
  <si>
    <t>77e0e5d2-7db8-4993-bba2-13b1dc1996c4</t>
  </si>
  <si>
    <t>Alan Hester</t>
  </si>
  <si>
    <t>20db6926-d280-416a-98c3-0920cbd50872</t>
  </si>
  <si>
    <t>Kristen Carter</t>
  </si>
  <si>
    <t>6f40b3e7-a03c-4ec7-a399-95075f64a22f</t>
  </si>
  <si>
    <t>Brandy Peters</t>
  </si>
  <si>
    <t>af59b9ab-370b-4df4-8a06-d589d27507f8</t>
  </si>
  <si>
    <t>Jacqueline Guzman</t>
  </si>
  <si>
    <t>639befc7-84ac-46bd-af5b-a569ea207f96</t>
  </si>
  <si>
    <t>Dillon Clark</t>
  </si>
  <si>
    <t>bf020b0d-3391-40f7-aa75-8c7641829fd4</t>
  </si>
  <si>
    <t>Amanda Ramos</t>
  </si>
  <si>
    <t>9da14116-1b55-4636-976b-33c1c953719b</t>
  </si>
  <si>
    <t>Laura Lopez</t>
  </si>
  <si>
    <t>3bbc35ca-ad8b-41e3-9bce-baf6751e3456</t>
  </si>
  <si>
    <t>Craig Wells</t>
  </si>
  <si>
    <t>b1ae3336-0f2d-4e27-9539-962babf22f9d</t>
  </si>
  <si>
    <t>Steven Smith II</t>
  </si>
  <si>
    <t>16279482-d821-4d3f-93d5-cccfb73b0600</t>
  </si>
  <si>
    <t>Eric Jones</t>
  </si>
  <si>
    <t>3ee70b1c-a6db-4919-91ed-984054adfc71</t>
  </si>
  <si>
    <t>Anthony Bryan</t>
  </si>
  <si>
    <t>6f37b73c-c576-483e-a773-8f9d49d33b95</t>
  </si>
  <si>
    <t>James Thomas</t>
  </si>
  <si>
    <t>5e583a12-cad0-41cc-b770-f4ee6e304725</t>
  </si>
  <si>
    <t>Yvette Cohen</t>
  </si>
  <si>
    <t>deaa5702-3ea9-4a34-b7e1-b2645258e36f</t>
  </si>
  <si>
    <t>Paul Lopez</t>
  </si>
  <si>
    <t>b987977d-de56-46b8-893e-afe65757bb7b</t>
  </si>
  <si>
    <t>Gloria Kemp</t>
  </si>
  <si>
    <t>d98bd7fd-6b55-4572-ba87-6bf39bea620f</t>
  </si>
  <si>
    <t>Theresa Crawford</t>
  </si>
  <si>
    <t>6b7c13b6-9eed-432b-b7cb-6d417641fbd7</t>
  </si>
  <si>
    <t>Lori Shaw</t>
  </si>
  <si>
    <t>dc1e604f-d23b-43e6-aa5b-278ff3aeb782</t>
  </si>
  <si>
    <t>Valerie Anderson</t>
  </si>
  <si>
    <t>721e3ac9-ec0d-4d03-b812-c3aabf1a8f41</t>
  </si>
  <si>
    <t>John Mcmahon</t>
  </si>
  <si>
    <t>f6ceee18-d406-460e-af45-dd5f05175be2</t>
  </si>
  <si>
    <t>Erica Gibbs</t>
  </si>
  <si>
    <t>d32b60d1-e60f-4ebf-9105-a3fc2c866007</t>
  </si>
  <si>
    <t>Brittany Richards</t>
  </si>
  <si>
    <t>2290d0d4-7ce7-4958-a522-7d0b4b94103d</t>
  </si>
  <si>
    <t>Michelle Thomas</t>
  </si>
  <si>
    <t>b96e6a9b-3022-401f-a099-387affe859ac</t>
  </si>
  <si>
    <t>Sandra Wilson</t>
  </si>
  <si>
    <t>9e993de3-7708-4437-8f84-0a671de0dc8b</t>
  </si>
  <si>
    <t>Christopher Davis</t>
  </si>
  <si>
    <t>3a8addcb-c665-47ce-bd77-85cda775699b</t>
  </si>
  <si>
    <t>Sarah Taylor</t>
  </si>
  <si>
    <t>d24f67ec-5a61-4efd-b290-a445de8c5283</t>
  </si>
  <si>
    <t>Christopher Obrien</t>
  </si>
  <si>
    <t>7c2c439f-1d2f-49ea-8ee4-1316b5b86058</t>
  </si>
  <si>
    <t>Christopher Byrd</t>
  </si>
  <si>
    <t>d61f0a3c-10d9-4c14-8fc5-03f2be41fb15</t>
  </si>
  <si>
    <t>James Gutierrez</t>
  </si>
  <si>
    <t>3be59b28-69c7-43e7-955c-862149756ad7</t>
  </si>
  <si>
    <t>Karen Schmidt</t>
  </si>
  <si>
    <t>3b24ae17-2f54-4fc7-bcb0-b5d74f1e27e6</t>
  </si>
  <si>
    <t>Bruce Reed</t>
  </si>
  <si>
    <t>efe1232d-b7d1-44a0-84af-be1faf377d3f</t>
  </si>
  <si>
    <t>Steven Haley</t>
  </si>
  <si>
    <t>df442937-92f2-4a36-a5ee-278f30d03258</t>
  </si>
  <si>
    <t>John Nguyen</t>
  </si>
  <si>
    <t>81c3305a-d979-4801-a96c-80936035978b</t>
  </si>
  <si>
    <t>Travis Sanchez</t>
  </si>
  <si>
    <t>23fd7752-4f1b-48c9-8b46-9001d12c5d4d</t>
  </si>
  <si>
    <t>Darin Smith</t>
  </si>
  <si>
    <t>0a040562-c2d3-4a62-add4-4b94c2b8f65d</t>
  </si>
  <si>
    <t>Michelle Gallagher</t>
  </si>
  <si>
    <t>03b691a7-d290-47c3-b9e6-a44ffb61f408</t>
  </si>
  <si>
    <t>Andrea Cline</t>
  </si>
  <si>
    <t>40cdf01c-4646-404d-9886-b2d30b4acce2</t>
  </si>
  <si>
    <t>Crystal Lowe</t>
  </si>
  <si>
    <t>6ed2077b-0fac-4b65-bf11-fe181793941c</t>
  </si>
  <si>
    <t>Lauren Tucker</t>
  </si>
  <si>
    <t>33840ef8-e22f-42cd-9d26-7681a51281e2</t>
  </si>
  <si>
    <t>Stephanie Flores DDS</t>
  </si>
  <si>
    <t>8890be68-1b55-4f89-b030-771f39d6e223</t>
  </si>
  <si>
    <t>Kevin Carlson</t>
  </si>
  <si>
    <t>fe404ed7-633c-4a5e-8869-b8ded7d67b8f</t>
  </si>
  <si>
    <t>Cynthia Perry</t>
  </si>
  <si>
    <t>86d45a91-47d5-41a7-9ce7-c6e343b671ea</t>
  </si>
  <si>
    <t>David Lyons</t>
  </si>
  <si>
    <t>94e618a9-2f4f-43a6-ad36-ea69c4cefdf2</t>
  </si>
  <si>
    <t>Eugene Hardy</t>
  </si>
  <si>
    <t>147a8254-a98b-4044-9ca2-fb7968113e64</t>
  </si>
  <si>
    <t>Kristina Ellison</t>
  </si>
  <si>
    <t>a9e58b7c-a054-4757-aab0-a52b6ef08f4a</t>
  </si>
  <si>
    <t>Angela Green</t>
  </si>
  <si>
    <t>65041e6b-a6b2-4168-b66d-24b0c6b40409</t>
  </si>
  <si>
    <t>Andrea George</t>
  </si>
  <si>
    <t>c27d596e-556b-42a8-b171-af7bff2de17e</t>
  </si>
  <si>
    <t>Charles Shaffer</t>
  </si>
  <si>
    <t>40e2d0c9-ed07-40e8-954d-d70a98fda0e5</t>
  </si>
  <si>
    <t>William Wright</t>
  </si>
  <si>
    <t>d279b034-7237-4fa3-959e-bc0c4161af9f</t>
  </si>
  <si>
    <t>Mitchell Smith</t>
  </si>
  <si>
    <t>72fdbeb5-f522-4388-b5eb-52870bfc4739</t>
  </si>
  <si>
    <t>Vanessa Burgess</t>
  </si>
  <si>
    <t>c8d89d81-2ff9-4d6a-a28c-1b4c0c64d83c</t>
  </si>
  <si>
    <t>Antonio Garza</t>
  </si>
  <si>
    <t>42ac1358-e579-4432-9093-dbfc68d51225</t>
  </si>
  <si>
    <t>Johnny Schultz</t>
  </si>
  <si>
    <t>8e829c72-a817-4b04-b7a1-fa9a0dbd26ca</t>
  </si>
  <si>
    <t>James Roman</t>
  </si>
  <si>
    <t>66d93f7f-6678-4048-a338-0058f180881b</t>
  </si>
  <si>
    <t>Natalie Perez</t>
  </si>
  <si>
    <t>e23b5213-8c05-4aa0-8083-5ff55f79dd74</t>
  </si>
  <si>
    <t>Jennifer Jordan</t>
  </si>
  <si>
    <t>79ebd281-a4ea-43ca-80a0-939e33f6555e</t>
  </si>
  <si>
    <t>Mark Gomez</t>
  </si>
  <si>
    <t>03fbceac-b8c2-4542-a1bd-35f861e2d36d</t>
  </si>
  <si>
    <t>Cynthia Johns</t>
  </si>
  <si>
    <t>7df5fb64-6059-4fc7-8a5b-d18a290ffd03</t>
  </si>
  <si>
    <t>Mario Ellison</t>
  </si>
  <si>
    <t>17459f1b-9182-40d6-a527-10e4cf7c3f8a</t>
  </si>
  <si>
    <t>Madison Anderson</t>
  </si>
  <si>
    <t>906091a8-4349-49a3-9bfb-60639b4080df</t>
  </si>
  <si>
    <t>Kevin Ortiz</t>
  </si>
  <si>
    <t>4a10abc0-40da-4170-bd0f-706dbee9efb7</t>
  </si>
  <si>
    <t>Wanda Zimmerman</t>
  </si>
  <si>
    <t>d8e675b9-0419-4870-b514-29cc50249885</t>
  </si>
  <si>
    <t>Jonathan Thomas</t>
  </si>
  <si>
    <t>7bb2d8ef-cde0-449b-b5b7-6debba767066</t>
  </si>
  <si>
    <t>Christopher Harding</t>
  </si>
  <si>
    <t>2d90f7bd-9a49-4aee-bb81-b51c626db732</t>
  </si>
  <si>
    <t>Kimberly Daniels</t>
  </si>
  <si>
    <t>72b07908-c62c-4d50-b84a-73c953caf917</t>
  </si>
  <si>
    <t>Michael Boyer</t>
  </si>
  <si>
    <t>6280078b-f482-4e34-8c13-a2171cbe41c5</t>
  </si>
  <si>
    <t>Timothy Barr</t>
  </si>
  <si>
    <t>b238cc65-967c-4c70-b93c-0e27d867941c</t>
  </si>
  <si>
    <t>Mr. Blake Buckley</t>
  </si>
  <si>
    <t>0a4bcb32-39b2-49c9-ae11-a7aa19e23d42</t>
  </si>
  <si>
    <t>Travis Newman</t>
  </si>
  <si>
    <t>e92d3741-3534-4a5f-a9c3-b7c491417de3</t>
  </si>
  <si>
    <t>Jason Young</t>
  </si>
  <si>
    <t>37296fb3-f154-47d0-b53c-c474215e8526</t>
  </si>
  <si>
    <t>John Ramsey</t>
  </si>
  <si>
    <t>b01682b8-9fb0-47c3-87cf-40d45c8539e4</t>
  </si>
  <si>
    <t>Brian Walton</t>
  </si>
  <si>
    <t>7835e1c6-1aa1-4632-95b2-da4bb0e55a0f</t>
  </si>
  <si>
    <t>Nancy Cherry</t>
  </si>
  <si>
    <t>bf502320-6cfd-4130-814f-e9f94b305e5e</t>
  </si>
  <si>
    <t>Stephanie Arellano</t>
  </si>
  <si>
    <t>82c83903-2e1f-41af-8a88-e522f0aa9700</t>
  </si>
  <si>
    <t>John Ryan</t>
  </si>
  <si>
    <t>6818856a-cf11-4ca8-a7d8-b385bea45a20</t>
  </si>
  <si>
    <t>Mackenzie Sanchez</t>
  </si>
  <si>
    <t>93b76011-c1e7-47dd-895f-ebd60dfc5b25</t>
  </si>
  <si>
    <t>Nicholas Martinez</t>
  </si>
  <si>
    <t>1d9e1215-b536-45d2-a00d-50898e2648bd</t>
  </si>
  <si>
    <t>Tyler Edwards</t>
  </si>
  <si>
    <t>b0581529-bade-4359-af75-b83918c0012a</t>
  </si>
  <si>
    <t>Natalie Smith</t>
  </si>
  <si>
    <t>dafdb765-d24b-4a9f-9fef-9c1fa44cd8b5</t>
  </si>
  <si>
    <t>Christy Gomez</t>
  </si>
  <si>
    <t>3cbd1209-ca6e-459f-b1b0-5587faf93e39</t>
  </si>
  <si>
    <t>Madison Powell</t>
  </si>
  <si>
    <t>4abee7b8-8d85-4b41-a9e5-98c2bd98af43</t>
  </si>
  <si>
    <t>Ryan Ray</t>
  </si>
  <si>
    <t>30e22762-b64d-43af-99b8-b0bfe232344b</t>
  </si>
  <si>
    <t>Vanessa Conway</t>
  </si>
  <si>
    <t>b3e4ad9e-9cad-4c26-b1c2-17082f00e570</t>
  </si>
  <si>
    <t>George Walker</t>
  </si>
  <si>
    <t>926da6f4-6393-467b-920a-2d25d3c6059c</t>
  </si>
  <si>
    <t>Kevin Leblanc</t>
  </si>
  <si>
    <t>fb90643f-603e-438f-96a9-dfd5f13a5e86</t>
  </si>
  <si>
    <t>Sara Crawford</t>
  </si>
  <si>
    <t>ff6f1b56-6f4c-417d-a66e-bc3c4ce968af</t>
  </si>
  <si>
    <t>Albert Owens</t>
  </si>
  <si>
    <t>78f2a9eb-723c-44ac-a2b5-72f934bc6bbb</t>
  </si>
  <si>
    <t>Gregory Ramos</t>
  </si>
  <si>
    <t>8fa4a9b8-1829-4bbf-81e9-85d08353e8bb</t>
  </si>
  <si>
    <t>Norma Key</t>
  </si>
  <si>
    <t>b846b535-a8df-4948-bfa2-fef065e25c2d</t>
  </si>
  <si>
    <t>Jennifer Gomez</t>
  </si>
  <si>
    <t>aa5989f1-0261-4bd6-8b4d-2aecd468c0de</t>
  </si>
  <si>
    <t>Dr. Marissa Nolan</t>
  </si>
  <si>
    <t>effa888e-c13c-405c-9d07-ed3520e5b8f5</t>
  </si>
  <si>
    <t>Natasha Martin</t>
  </si>
  <si>
    <t>fe0186f8-3a90-4150-a680-3e68e255e746</t>
  </si>
  <si>
    <t>Sandra Johnson</t>
  </si>
  <si>
    <t>5d0122ba-ce5c-4e07-8bf0-da0c3f0a8c82</t>
  </si>
  <si>
    <t>Kyle Kline</t>
  </si>
  <si>
    <t>bd377942-7b98-4bf3-834c-4ad673b87bff</t>
  </si>
  <si>
    <t>Isaiah Thompson</t>
  </si>
  <si>
    <t>d6a92bf0-b93c-48e2-95f1-50f4a9e9c2e6</t>
  </si>
  <si>
    <t>Susan Koch</t>
  </si>
  <si>
    <t>399c8f9f-a88c-4f94-ae8e-261e3d244731</t>
  </si>
  <si>
    <t>Elizabeth Allen</t>
  </si>
  <si>
    <t>8da27ad5-ea01-44a0-89c9-0058ede8dbdc</t>
  </si>
  <si>
    <t>Timothy White</t>
  </si>
  <si>
    <t>bd647e2d-4d1f-4680-a567-c3ae8b162ae3</t>
  </si>
  <si>
    <t>Victoria Reynolds</t>
  </si>
  <si>
    <t>623da97a-e775-41d9-b59d-2b4092194e13</t>
  </si>
  <si>
    <t>Benjamin Harvey</t>
  </si>
  <si>
    <t>3cccf679-d750-4180-8290-4f9f51c880aa</t>
  </si>
  <si>
    <t>Caleb Bass</t>
  </si>
  <si>
    <t>07b46259-07fb-4c62-bbc4-683f5356a5e6</t>
  </si>
  <si>
    <t>Michael Perry</t>
  </si>
  <si>
    <t>24772bfa-fb2c-4b57-b06e-166cd7b93523</t>
  </si>
  <si>
    <t>Joseph Cross</t>
  </si>
  <si>
    <t>8007c165-af68-419c-b7dc-79c9fcc7798f</t>
  </si>
  <si>
    <t>Brenda Peterson</t>
  </si>
  <si>
    <t>12bbac23-34d8-4f51-9373-345d8b306213</t>
  </si>
  <si>
    <t>Lindsey Cruz</t>
  </si>
  <si>
    <t>139eeba3-992a-48da-b97e-6d2ae229957d</t>
  </si>
  <si>
    <t>Heather Vargas</t>
  </si>
  <si>
    <t>2cf88579-ddd0-42dd-9b98-93703694b1fb</t>
  </si>
  <si>
    <t>Luke Simpson</t>
  </si>
  <si>
    <t>d48ca678-265e-42e4-86b0-3104b49c5d6d</t>
  </si>
  <si>
    <t>Anthony Harris</t>
  </si>
  <si>
    <t>ea5b1203-abbe-4647-9c45-449eb2fc87d8</t>
  </si>
  <si>
    <t>Jessica Meadows</t>
  </si>
  <si>
    <t>3cf7cc92-ec45-4738-8d34-654a640079bb</t>
  </si>
  <si>
    <t>Mr. Scott Bowen</t>
  </si>
  <si>
    <t>1cf912cc-aa49-40bf-b175-4bd9da15eae1</t>
  </si>
  <si>
    <t>Daniel Moreno</t>
  </si>
  <si>
    <t>9c5d6a72-17f2-4442-9b5d-4117347497d9</t>
  </si>
  <si>
    <t>Maria Johnson</t>
  </si>
  <si>
    <t>d57d4fc3-8b86-42b2-9098-c40cdd802b40</t>
  </si>
  <si>
    <t>Tara Mooney</t>
  </si>
  <si>
    <t>82d3f1a8-9127-4fb1-8975-31590b917e5c</t>
  </si>
  <si>
    <t>Christina Moore</t>
  </si>
  <si>
    <t>49728ec7-ee45-43f4-ac76-ccca264846cc</t>
  </si>
  <si>
    <t>Travis Sanders</t>
  </si>
  <si>
    <t>d5d010ba-0fd1-4ef8-8040-fefdc5555b41</t>
  </si>
  <si>
    <t>Patricia Boone</t>
  </si>
  <si>
    <t>65a19a2b-b147-42bc-b805-c9924dc43825</t>
  </si>
  <si>
    <t>d233b531-958b-45c6-a089-5c047817293f</t>
  </si>
  <si>
    <t>Adrian Oneill</t>
  </si>
  <si>
    <t>8c644d04-2abf-429d-9464-327d572b84df</t>
  </si>
  <si>
    <t>Bridget Smith</t>
  </si>
  <si>
    <t>6bf9dbeb-33d9-4ef6-84f2-501d443de4ce</t>
  </si>
  <si>
    <t>Jose Taylor</t>
  </si>
  <si>
    <t>d57d5de6-d9a0-4b43-b0e4-475c6524f9ba</t>
  </si>
  <si>
    <t>Kelly Conner</t>
  </si>
  <si>
    <t>96658828-7acc-4957-ae0a-9d71786846a9</t>
  </si>
  <si>
    <t>Jillian Sosa</t>
  </si>
  <si>
    <t>4e7edd8d-b666-4b41-8bb0-df367f9c7d69</t>
  </si>
  <si>
    <t>Richard Johnson</t>
  </si>
  <si>
    <t>f6c2bcc2-9489-4c44-b0a5-9259076c5849</t>
  </si>
  <si>
    <t>Ashley Coleman</t>
  </si>
  <si>
    <t>e92e88b4-c3d6-486f-a683-68f0658bdd20</t>
  </si>
  <si>
    <t>Courtney Jacobs</t>
  </si>
  <si>
    <t>94e391b9-f37d-4e88-902c-0ab3551949bb</t>
  </si>
  <si>
    <t>Jon Bishop</t>
  </si>
  <si>
    <t>7e78fa36-abc1-4773-b5e1-1ab48b4a88f1</t>
  </si>
  <si>
    <t>John Evans</t>
  </si>
  <si>
    <t>f41f54ce-33a2-4946-87b5-9224084cdce1</t>
  </si>
  <si>
    <t>Bernard Ramirez</t>
  </si>
  <si>
    <t>beec3bc7-e94e-4e5b-9e07-53b3233192b1</t>
  </si>
  <si>
    <t>Timothy Castaneda</t>
  </si>
  <si>
    <t>e8a5ead4-7807-4e49-b5ee-4d095907a50a</t>
  </si>
  <si>
    <t>Jacob Howard</t>
  </si>
  <si>
    <t>1358c045-661f-4c75-a4d3-b9f1e8b87f16</t>
  </si>
  <si>
    <t>Jacob Smith</t>
  </si>
  <si>
    <t>c815af1f-e407-432b-bacb-59c29d538335</t>
  </si>
  <si>
    <t>Wanda Daugherty</t>
  </si>
  <si>
    <t>829862ba-7428-4966-9d7c-ac6c4be5d110</t>
  </si>
  <si>
    <t>Rachel Johnson DDS</t>
  </si>
  <si>
    <t>8a7005de-a8dd-4fea-9abb-cc581dcfbd9e</t>
  </si>
  <si>
    <t>Felicia Fletcher</t>
  </si>
  <si>
    <t>05151506-39b2-4733-acad-76e474e1511b</t>
  </si>
  <si>
    <t>Drew Lucero</t>
  </si>
  <si>
    <t>3431b698-63ba-4c55-b134-5eb528e10c62</t>
  </si>
  <si>
    <t>Michael Sexton</t>
  </si>
  <si>
    <t>e4d0e031-cded-4f40-8d08-d42d7736fd17</t>
  </si>
  <si>
    <t>Jessica Lee</t>
  </si>
  <si>
    <t>be700cbe-caa1-4037-902d-02790b26e671</t>
  </si>
  <si>
    <t>Carol Rodriguez</t>
  </si>
  <si>
    <t>d8b00c9d-3b60-4ea2-95f7-5ab886c4f59d</t>
  </si>
  <si>
    <t>Ryan Baker</t>
  </si>
  <si>
    <t>4508f173-15f3-44f6-844e-38e0c962e850</t>
  </si>
  <si>
    <t>Robert Charles</t>
  </si>
  <si>
    <t>287d96f8-f283-479d-905e-9d9a758a96e5</t>
  </si>
  <si>
    <t>Patricia Johnson</t>
  </si>
  <si>
    <t>3588db0e-461b-4d8b-87b9-2f95745808ed</t>
  </si>
  <si>
    <t>Cody Gay</t>
  </si>
  <si>
    <t>fe2457f7-4143-4557-8eaf-9426c54cff51</t>
  </si>
  <si>
    <t>Matthew Davis</t>
  </si>
  <si>
    <t>72974db9-b5dd-433e-9f23-48c7755d9d39</t>
  </si>
  <si>
    <t>Emily Brown</t>
  </si>
  <si>
    <t>c28c50d3-d1f1-4540-a31c-d4c4e5b26107</t>
  </si>
  <si>
    <t>Sherry Jones</t>
  </si>
  <si>
    <t>ed525e42-3641-4643-9f17-5e4262fd36ac</t>
  </si>
  <si>
    <t>Brittany Montgomery</t>
  </si>
  <si>
    <t>85078e9b-7c20-45a2-9b30-33b233b23de3</t>
  </si>
  <si>
    <t>Jamie Aguilar</t>
  </si>
  <si>
    <t>def0d02f-a8b0-494a-98ec-66dba71b8070</t>
  </si>
  <si>
    <t>34288381-9194-46aa-8897-e7f782fdcf6c</t>
  </si>
  <si>
    <t>Casey Hunt</t>
  </si>
  <si>
    <t>e3d66e27-d046-4d1a-860d-f564a590c552</t>
  </si>
  <si>
    <t>Carol Liu</t>
  </si>
  <si>
    <t>6b5f59c4-d449-46bc-8be9-ac4b069a5631</t>
  </si>
  <si>
    <t>Gerald Garza</t>
  </si>
  <si>
    <t>2964818a-8ed2-4b0a-9ed8-ca9216f12372</t>
  </si>
  <si>
    <t>Ashley Hernandez</t>
  </si>
  <si>
    <t>085114df-f5ed-462e-b858-e38fefa67a7e</t>
  </si>
  <si>
    <t>James Alvarez</t>
  </si>
  <si>
    <t>06dd389c-c40a-4b94-9fa7-47abda754375</t>
  </si>
  <si>
    <t>Margaret Mccullough</t>
  </si>
  <si>
    <t>d577bcca-e848-4582-9b2f-d4907dd5e466</t>
  </si>
  <si>
    <t>Rhonda Peters</t>
  </si>
  <si>
    <t>df0c29ed-c260-4424-8e1f-af83a79dce34</t>
  </si>
  <si>
    <t>Pamela Brown</t>
  </si>
  <si>
    <t>7b0f1424-1387-4e93-8447-e08d1f77fd9f</t>
  </si>
  <si>
    <t>22aa5f7d-0397-4c22-959a-6d1493d566fb</t>
  </si>
  <si>
    <t>Kathleen Woods</t>
  </si>
  <si>
    <t>59f72ab8-db52-4ed2-bf56-aeef7b0bf379</t>
  </si>
  <si>
    <t>Jenna Salazar</t>
  </si>
  <si>
    <t>8b61de24-e83f-48fc-9096-79a51913f26e</t>
  </si>
  <si>
    <t>Joshua Bray</t>
  </si>
  <si>
    <t>46193c74-4c99-480a-bcd3-f5df59fb6fbd</t>
  </si>
  <si>
    <t>Hannah Maynard</t>
  </si>
  <si>
    <t>125b327b-a770-472d-96a1-07e61fe7c01f</t>
  </si>
  <si>
    <t>Amber Aguirre</t>
  </si>
  <si>
    <t>572e70db-bd90-4088-b132-39b461cbcba1</t>
  </si>
  <si>
    <t>Brooke Cardenas</t>
  </si>
  <si>
    <t>98b75bd7-1a3a-4a8d-8527-1db1f78c2128</t>
  </si>
  <si>
    <t>Jennifer Leonard</t>
  </si>
  <si>
    <t>16c3b1ba-c18a-48bf-b307-8160434f24e0</t>
  </si>
  <si>
    <t>Emily Cole</t>
  </si>
  <si>
    <t>dee009b8-2628-4956-9156-3807da02030a</t>
  </si>
  <si>
    <t>Angela Mills</t>
  </si>
  <si>
    <t>5df78f7e-7609-4932-b7b5-5fc6fbc3f63d</t>
  </si>
  <si>
    <t>Terry Woods</t>
  </si>
  <si>
    <t>848ca2d3-9cdd-4a06-86ec-7c9790169084</t>
  </si>
  <si>
    <t>Alyssa Cross</t>
  </si>
  <si>
    <t>e84383f4-ff3f-460e-825a-140447b916f3</t>
  </si>
  <si>
    <t>Mallory Sims</t>
  </si>
  <si>
    <t>a59a0ff3-2b84-4b6e-89fc-51c376dba430</t>
  </si>
  <si>
    <t>Frank Guerra</t>
  </si>
  <si>
    <t>468ae5f1-83b6-4ef5-8fc2-8b46a514cf17</t>
  </si>
  <si>
    <t>William Jones</t>
  </si>
  <si>
    <t>05eb8418-c80d-4578-b7ff-6c2326355772</t>
  </si>
  <si>
    <t>Noah Cunningham</t>
  </si>
  <si>
    <t>06cc725d-e3ff-4c6b-84e7-90480fec8867</t>
  </si>
  <si>
    <t>Alicia Schaefer</t>
  </si>
  <si>
    <t>fc56928a-c9ab-49ba-850c-368f08dde733</t>
  </si>
  <si>
    <t>Charles Oliver</t>
  </si>
  <si>
    <t>2bd14982-84ba-459e-a2da-364805237e4c</t>
  </si>
  <si>
    <t>Shelley Meyer</t>
  </si>
  <si>
    <t>898f148b-2bf5-4797-b492-f7a12d25606a</t>
  </si>
  <si>
    <t>Marcia Ruiz</t>
  </si>
  <si>
    <t>42a1698e-a047-499e-874b-3dcb9d5dcfa2</t>
  </si>
  <si>
    <t>David Whitehead</t>
  </si>
  <si>
    <t>b9d7d346-5446-4a7a-8518-092fec1136e1</t>
  </si>
  <si>
    <t>Ana Hayes</t>
  </si>
  <si>
    <t>6f738a40-4d75-4054-8137-040f31c3d161</t>
  </si>
  <si>
    <t>John Miller</t>
  </si>
  <si>
    <t>ad24a2a2-1e30-476a-9a06-dd670cf6add8</t>
  </si>
  <si>
    <t>Marissa White</t>
  </si>
  <si>
    <t>1476734d-1b07-4f8b-a48d-9c9ca8a26dd3</t>
  </si>
  <si>
    <t>Catherine Arellano</t>
  </si>
  <si>
    <t>c0394d74-81c7-426e-8627-edcf96c61e59</t>
  </si>
  <si>
    <t>William Manning</t>
  </si>
  <si>
    <t>128f4021-6e67-494a-9170-4674b452a7c2</t>
  </si>
  <si>
    <t>Raymond Mcintosh</t>
  </si>
  <si>
    <t>bcc43bd4-5ece-4ce3-bce1-e2357510b655</t>
  </si>
  <si>
    <t>Deanna Carlson</t>
  </si>
  <si>
    <t>10aa00cb-d137-4311-9647-55e6d629e1b4</t>
  </si>
  <si>
    <t>Carlos Bell</t>
  </si>
  <si>
    <t>8e2304d5-71c1-42db-9a57-d28c100346ba</t>
  </si>
  <si>
    <t>Tiffany Williamson</t>
  </si>
  <si>
    <t>b88a75a7-4338-440e-a156-28dbd53d41b6</t>
  </si>
  <si>
    <t>Gwendolyn Faulkner</t>
  </si>
  <si>
    <t>7b6a962b-090e-4db2-aaa4-68089733732e</t>
  </si>
  <si>
    <t>Rebecca Kane</t>
  </si>
  <si>
    <t>7a1f6e05-838b-483e-8b68-407a8fae4e32</t>
  </si>
  <si>
    <t>Tyler Hughes</t>
  </si>
  <si>
    <t>2534da89-ee4a-41dc-8455-dfbef1533885</t>
  </si>
  <si>
    <t>Michael Brown</t>
  </si>
  <si>
    <t>3f7e62c8-fa87-4ec9-a5d0-4c973e1252b7</t>
  </si>
  <si>
    <t>Michael Baker</t>
  </si>
  <si>
    <t>5a2589dd-e769-4709-95e6-2b6e2c24afb8</t>
  </si>
  <si>
    <t>Elizabeth Harding</t>
  </si>
  <si>
    <t>677a842e-af96-4148-887a-28f841ec65e5</t>
  </si>
  <si>
    <t>Ellen Burgess</t>
  </si>
  <si>
    <t>1d2c8d74-a366-4d71-8b46-4cdedf9b3dc8</t>
  </si>
  <si>
    <t>Judith Stone</t>
  </si>
  <si>
    <t>73d9cc8b-00c8-403c-8ec0-739647035a29</t>
  </si>
  <si>
    <t>Donald Bullock</t>
  </si>
  <si>
    <t>005bbfcb-495a-4b73-8313-cafc7fb3ef0f</t>
  </si>
  <si>
    <t>Jimmy Martin</t>
  </si>
  <si>
    <t>03f9e350-3a81-48a8-a678-cbdf722b3e55</t>
  </si>
  <si>
    <t>William Cohen</t>
  </si>
  <si>
    <t>42af7e0c-b553-4fe0-9b05-bcf90eec17fc</t>
  </si>
  <si>
    <t>Andrea Jones</t>
  </si>
  <si>
    <t>c270f384-4500-44c0-b97a-beb8c4d01bca</t>
  </si>
  <si>
    <t>Sheila Kerr</t>
  </si>
  <si>
    <t>d2de225e-e1f1-459e-90ee-3f6f9b3c50e0</t>
  </si>
  <si>
    <t>Kelly Perez</t>
  </si>
  <si>
    <t>6a6b81a5-d17f-4989-84cc-292fbc16a146</t>
  </si>
  <si>
    <t>William Travis</t>
  </si>
  <si>
    <t>70fc93e3-88f6-4273-a85f-487f609b6398</t>
  </si>
  <si>
    <t>Teresa House</t>
  </si>
  <si>
    <t>73c5444f-389d-487d-a88b-d73905e1c0d3</t>
  </si>
  <si>
    <t>Matthew Rodriguez</t>
  </si>
  <si>
    <t>eeb1d067-15cf-4ab1-9daf-bda53479e303</t>
  </si>
  <si>
    <t>Dawn Wilson</t>
  </si>
  <si>
    <t>48f08358-9a20-4077-9430-bd32b34e7a6d</t>
  </si>
  <si>
    <t>Anita Harvey</t>
  </si>
  <si>
    <t>cc3450f4-8fe7-4728-9ea1-c291ea879fe5</t>
  </si>
  <si>
    <t>Sabrina Schwartz</t>
  </si>
  <si>
    <t>e45e896e-7bcd-42e1-83c9-198d8ac66930</t>
  </si>
  <si>
    <t>Deborah Garcia</t>
  </si>
  <si>
    <t>f780ffbc-af4f-4e3a-8afa-67753f6f6990</t>
  </si>
  <si>
    <t>Robert Shields</t>
  </si>
  <si>
    <t>728dbf3a-de8b-4bfe-a6b7-a529d7a54357</t>
  </si>
  <si>
    <t>Daniel Jackson</t>
  </si>
  <si>
    <t>14455bf6-b69d-4fc4-bd28-e923ee0d67d0</t>
  </si>
  <si>
    <t>Eric Bailey</t>
  </si>
  <si>
    <t>9f0b5820-6e2d-42ee-b467-c14dfe3361aa</t>
  </si>
  <si>
    <t>Daniel Freeman</t>
  </si>
  <si>
    <t>de62e840-df98-43cb-a538-1a7a99cad227</t>
  </si>
  <si>
    <t>Elizabeth Sellers</t>
  </si>
  <si>
    <t>7d3d15db-fd0e-42f5-811b-60c5fceb8249</t>
  </si>
  <si>
    <t>Shelly Burnett</t>
  </si>
  <si>
    <t>32342b20-51b0-4fd7-acd0-ea7a268f971a</t>
  </si>
  <si>
    <t>Carlos Young</t>
  </si>
  <si>
    <t>e018187a-b1e3-4a70-882d-d72475f9f5b2</t>
  </si>
  <si>
    <t>Andrew Evans</t>
  </si>
  <si>
    <t>0205ebb6-b81b-4759-a61b-899291e5f878</t>
  </si>
  <si>
    <t>Bridget Williams</t>
  </si>
  <si>
    <t>a5e75ecc-1ced-495f-9be7-107392617369</t>
  </si>
  <si>
    <t>Teresa Williams</t>
  </si>
  <si>
    <t>10ad44e8-d709-444f-81dc-487af1eec5bb</t>
  </si>
  <si>
    <t>Lisa Moreno</t>
  </si>
  <si>
    <t>98dd0d9d-b3fc-4fca-a086-d17f58aaddd6</t>
  </si>
  <si>
    <t>Amanda Rodriguez</t>
  </si>
  <si>
    <t>272cc1ec-7a8d-4d7a-8aba-a3e7f09e102e</t>
  </si>
  <si>
    <t>Jennifer Chung</t>
  </si>
  <si>
    <t>84747c4a-19e5-4844-bcf7-60f79cf12ab9</t>
  </si>
  <si>
    <t>Kimberly Johnson</t>
  </si>
  <si>
    <t>617868cf-210c-4d3c-9312-3fcfd73420e7</t>
  </si>
  <si>
    <t>Patricia Marquez</t>
  </si>
  <si>
    <t>3c2c167f-d640-4c1d-99d5-0c922198f022</t>
  </si>
  <si>
    <t>Scott Morrison</t>
  </si>
  <si>
    <t>ba1dc0de-5b40-411b-ad3b-9b94ecb8ab3c</t>
  </si>
  <si>
    <t>Jennifer Thomas MD</t>
  </si>
  <si>
    <t>3bbfd674-f8c6-49f1-8e24-ea56404c0082</t>
  </si>
  <si>
    <t>Wesley Mayo</t>
  </si>
  <si>
    <t>f80465f4-0b53-4283-bc81-8b269a7388a7</t>
  </si>
  <si>
    <t>Jeremy Freeman</t>
  </si>
  <si>
    <t>0261d7a4-2815-4bb4-92c2-76149966664c</t>
  </si>
  <si>
    <t>Brian Kaufman</t>
  </si>
  <si>
    <t>d921c7ba-d915-48bc-a5bc-9a517d79f5d8</t>
  </si>
  <si>
    <t>Matthew Dawson</t>
  </si>
  <si>
    <t>f942053c-a613-451f-baa7-7a9f4cca2952</t>
  </si>
  <si>
    <t>Marc Allen</t>
  </si>
  <si>
    <t>2e55c526-6a1b-40ce-ac50-05802e6798df</t>
  </si>
  <si>
    <t>Steven Sharp</t>
  </si>
  <si>
    <t>c02f02e5-186e-4a69-8aff-045465572057</t>
  </si>
  <si>
    <t>Michael Robles</t>
  </si>
  <si>
    <t>42c53d65-b15c-48f6-be13-176c4ac9b9fe</t>
  </si>
  <si>
    <t>Daniel Taylor</t>
  </si>
  <si>
    <t>38aebdcb-0964-4c0e-a99f-46340d464583</t>
  </si>
  <si>
    <t>Michelle Lopez</t>
  </si>
  <si>
    <t>46dcbc9b-e4fb-451c-a252-b13b7d7524ca</t>
  </si>
  <si>
    <t>James Sosa</t>
  </si>
  <si>
    <t>9860f798-9ded-4332-b176-c515b32e5562</t>
  </si>
  <si>
    <t>Jennifer Petty</t>
  </si>
  <si>
    <t>81423dd0-58ba-4b4a-a73d-761e8c9f1539</t>
  </si>
  <si>
    <t>Nicholas Newman</t>
  </si>
  <si>
    <t>12b06dee-a270-4b9f-8974-459fd60ba4ef</t>
  </si>
  <si>
    <t>Katelyn Johnston</t>
  </si>
  <si>
    <t>e94b8ad3-5edc-498e-b170-51ae8fd1c7a9</t>
  </si>
  <si>
    <t>James Schwartz</t>
  </si>
  <si>
    <t>ab73588a-a9e5-4c29-8595-ddd71dbafc71</t>
  </si>
  <si>
    <t>Jennifer Rios</t>
  </si>
  <si>
    <t>36afc640-ce2e-4da2-90ed-f4903777c9c2</t>
  </si>
  <si>
    <t>Mrs. Debbie Gardner DVM</t>
  </si>
  <si>
    <t>cc192172-6ed7-4dfa-8066-8ec9715abbd8</t>
  </si>
  <si>
    <t>Cheyenne Hanson</t>
  </si>
  <si>
    <t>fad60d02-a56a-43bf-b346-fb0c5df2b57b</t>
  </si>
  <si>
    <t>Karla Copeland</t>
  </si>
  <si>
    <t>4053e5bb-9cb3-49ce-8174-f49b04b5a990</t>
  </si>
  <si>
    <t>Sarah Vincent</t>
  </si>
  <si>
    <t>533abcc0-c869-4726-bcc9-ac40809b1927</t>
  </si>
  <si>
    <t>Terri Dunn</t>
  </si>
  <si>
    <t>3f1e55ad-ccf7-4bd1-a957-222db2c2d9f9</t>
  </si>
  <si>
    <t>Marcus Jensen</t>
  </si>
  <si>
    <t>3f7154a7-2442-4564-a606-39b8c7d39dab</t>
  </si>
  <si>
    <t>Mr. Paul Pearson MD</t>
  </si>
  <si>
    <t>d682f5ac-bac7-4f40-95ef-f75e70fccc48</t>
  </si>
  <si>
    <t>Bridget Garcia</t>
  </si>
  <si>
    <t>5c9eda55-555f-4282-86c1-957f86470d1b</t>
  </si>
  <si>
    <t>Michelle Patel</t>
  </si>
  <si>
    <t>8d615f40-9e89-48e3-98a9-d00487f1af19</t>
  </si>
  <si>
    <t>10c3bcac-4d76-41e7-8587-da1ce7550ac1</t>
  </si>
  <si>
    <t>Travis Davis</t>
  </si>
  <si>
    <t>b39ea9cf-ea0c-42df-938e-a94014ed40c7</t>
  </si>
  <si>
    <t>Joshua Kidd</t>
  </si>
  <si>
    <t>b86d25be-d118-4e34-a7fb-52e3d44d7e56</t>
  </si>
  <si>
    <t>Mitchell Ellis</t>
  </si>
  <si>
    <t>6357a2ce-218c-4bf7-9bdf-5f7f66917488</t>
  </si>
  <si>
    <t>Catherine Haney</t>
  </si>
  <si>
    <t>15261af4-db23-4acd-af61-995d280ee4c5</t>
  </si>
  <si>
    <t>Traci Fuller</t>
  </si>
  <si>
    <t>c241b0aa-48a1-463f-99ba-a8be270afff8</t>
  </si>
  <si>
    <t>Kristi Ramirez</t>
  </si>
  <si>
    <t>5b680171-99fd-45ba-9115-440f96487a8a</t>
  </si>
  <si>
    <t>Dillon Pierce</t>
  </si>
  <si>
    <t>6b470e6b-96b9-44d6-b210-e11f7835a828</t>
  </si>
  <si>
    <t>Craig Neal</t>
  </si>
  <si>
    <t>1322b035-a304-4c85-a843-9991fb0d3a96</t>
  </si>
  <si>
    <t>Gregory Kirk</t>
  </si>
  <si>
    <t>4ece07ba-b1e8-43f3-ae36-b2b6635440f3</t>
  </si>
  <si>
    <t>Justin Morales</t>
  </si>
  <si>
    <t>c699a543-f050-426a-b13b-16417363197c</t>
  </si>
  <si>
    <t>Ellen Walker</t>
  </si>
  <si>
    <t>caca9386-f07d-4202-a6ea-227259881bf9</t>
  </si>
  <si>
    <t>Carlos Mills</t>
  </si>
  <si>
    <t>c7c7c8fd-e890-4839-9256-a03c58ef8ac9</t>
  </si>
  <si>
    <t>Charles Clarke</t>
  </si>
  <si>
    <t>3830bc25-48ba-4fed-afb4-43e77159ff09</t>
  </si>
  <si>
    <t>Lee Schultz</t>
  </si>
  <si>
    <t>acd535df-6cd7-4782-a628-5fa271bc595e</t>
  </si>
  <si>
    <t>Christopher Olson</t>
  </si>
  <si>
    <t>ac203f00-f4f9-4f5b-bf27-4ba8657e578e</t>
  </si>
  <si>
    <t>Thomas Wade</t>
  </si>
  <si>
    <t>1bdd3673-4986-49cd-85ca-55d1af316c6f</t>
  </si>
  <si>
    <t>Keith Morris</t>
  </si>
  <si>
    <t>0ef5b241-0b9a-4dd9-9ba3-bbcea9450d1c</t>
  </si>
  <si>
    <t>Jo Palmer</t>
  </si>
  <si>
    <t>21ddf72a-c856-4bd4-8641-473eee260ec4</t>
  </si>
  <si>
    <t>Melissa Thompson</t>
  </si>
  <si>
    <t>ae6b13ac-3354-440e-8d27-b4b979ecd4a9</t>
  </si>
  <si>
    <t>Laura Green</t>
  </si>
  <si>
    <t>68a3584b-670d-482d-9058-9510dab111fc</t>
  </si>
  <si>
    <t>Thomas Simpson</t>
  </si>
  <si>
    <t>9b7afe33-9bb0-40e9-bef1-fc0e31d468da</t>
  </si>
  <si>
    <t>Charles Weber</t>
  </si>
  <si>
    <t>034fbbcf-61f7-4bfd-8c76-208fc27d2ba9</t>
  </si>
  <si>
    <t>Jonathan Rodriguez</t>
  </si>
  <si>
    <t>ee48d196-e1fb-49ce-a2a8-5bdef4e5bbdb</t>
  </si>
  <si>
    <t>9145197d-674a-4c1a-85af-04f6e5ef24d0</t>
  </si>
  <si>
    <t>Douglas Carter</t>
  </si>
  <si>
    <t>55447725-5cfc-4f8d-b224-878ccb7db19f</t>
  </si>
  <si>
    <t>Luis Blair</t>
  </si>
  <si>
    <t>c48a671a-b9f9-49d9-b015-65554ec7467f</t>
  </si>
  <si>
    <t>David Hill</t>
  </si>
  <si>
    <t>69e5cab7-0543-40f3-91db-24f32fa34d33</t>
  </si>
  <si>
    <t>118eb36c-2873-47fc-b062-730265232835</t>
  </si>
  <si>
    <t>William Smith</t>
  </si>
  <si>
    <t>4f55ed91-0725-4498-b6ce-7e089a77e2b5</t>
  </si>
  <si>
    <t>Ryan Evans</t>
  </si>
  <si>
    <t>5a7aae88-0fc9-4842-a496-e8d5b13536e2</t>
  </si>
  <si>
    <t>Mary Williams</t>
  </si>
  <si>
    <t>16f688fc-748a-4cb8-97d3-7a4855dbc493</t>
  </si>
  <si>
    <t>Kendra Cruz</t>
  </si>
  <si>
    <t>0e32cdae-887c-4888-93af-39cdf86507ed</t>
  </si>
  <si>
    <t>Allen Kennedy</t>
  </si>
  <si>
    <t>b12418a5-4102-47ce-b9c7-92d68304258a</t>
  </si>
  <si>
    <t>Lance Monroe</t>
  </si>
  <si>
    <t>fd42bedd-6b2b-4dd2-b657-0cf95ae5c315</t>
  </si>
  <si>
    <t>Michael Wilson</t>
  </si>
  <si>
    <t>8099ec65-a885-4acb-b3f7-9b864bb52aed</t>
  </si>
  <si>
    <t>James Nelson</t>
  </si>
  <si>
    <t>6199150c-26ef-42b1-8d9b-41f09e5879f7</t>
  </si>
  <si>
    <t>Ashlee Bush</t>
  </si>
  <si>
    <t>5d4f4dbb-3eeb-4e5c-b7cf-b229e1022156</t>
  </si>
  <si>
    <t>Renee Little</t>
  </si>
  <si>
    <t>ff7a4e29-7661-4c03-8514-c80d8d624ae7</t>
  </si>
  <si>
    <t>Elizabeth Kim</t>
  </si>
  <si>
    <t>f0b4a467-1d39-4ffa-8d19-f7b98109bdf1</t>
  </si>
  <si>
    <t>Alicia Jones</t>
  </si>
  <si>
    <t>b558a6d0-a6b4-4c3f-9078-c15fb5e2d70a</t>
  </si>
  <si>
    <t>Morgan Jennings</t>
  </si>
  <si>
    <t>16c65ac7-853c-43d6-952f-3afdf3ffb498</t>
  </si>
  <si>
    <t>Kayla Lamb</t>
  </si>
  <si>
    <t>39049ac1-0f94-47ff-9ba1-5a1ecd7a4a89</t>
  </si>
  <si>
    <t>Randall Miller</t>
  </si>
  <si>
    <t>4366aced-07bf-48e2-beeb-279a7d10d451</t>
  </si>
  <si>
    <t>Lisa Rice</t>
  </si>
  <si>
    <t>80c11ef1-294d-4ac8-9a68-b2a62827df3e</t>
  </si>
  <si>
    <t>Elaine Jones</t>
  </si>
  <si>
    <t>8d00fed0-b25c-4f9e-96ac-d14a402a18d2</t>
  </si>
  <si>
    <t>Dylan Johnson</t>
  </si>
  <si>
    <t>a9aa5d30-0aa0-413a-9a3b-bfa099ea18ae</t>
  </si>
  <si>
    <t>Adam Coleman</t>
  </si>
  <si>
    <t>3c60a379-7c7c-43fa-9e1b-7f6f48d4cb61</t>
  </si>
  <si>
    <t>Kenneth Sampson</t>
  </si>
  <si>
    <t>ab3ce33a-bea6-408d-9b4a-b315cca973f7</t>
  </si>
  <si>
    <t>Johnathan Richard</t>
  </si>
  <si>
    <t>6376060d-c844-47b8-9c4c-64bff7cb1ea1</t>
  </si>
  <si>
    <t>Andrew Smith</t>
  </si>
  <si>
    <t>5636c672-cd10-4398-8f26-c5e1407689d3</t>
  </si>
  <si>
    <t>Kari Warren</t>
  </si>
  <si>
    <t>0e4406c5-fcfb-43f6-b536-a2985704ba65</t>
  </si>
  <si>
    <t>Felicia Morales</t>
  </si>
  <si>
    <t>b7f3f670-b755-456a-be8e-9c1c3aa79a1d</t>
  </si>
  <si>
    <t>Brianna Ray</t>
  </si>
  <si>
    <t>5a613c6c-c054-402d-8322-6cfca8b2f248</t>
  </si>
  <si>
    <t>Courtney Perkins</t>
  </si>
  <si>
    <t>c3580160-e2d6-446c-9e8c-73660a2cf683</t>
  </si>
  <si>
    <t>Amber Hancock</t>
  </si>
  <si>
    <t>de15d75c-c1d2-4c61-af29-7cc15269e1fa</t>
  </si>
  <si>
    <t>Kevin Flores</t>
  </si>
  <si>
    <t>15fc414c-dbb4-40db-9b37-8dcd8b35b964</t>
  </si>
  <si>
    <t>47f64168-652d-4887-acd6-3dd291964f06</t>
  </si>
  <si>
    <t>Carl Saunders</t>
  </si>
  <si>
    <t>5d78142a-05c0-4dcf-8953-f4ae29fd9b4b</t>
  </si>
  <si>
    <t>Benjamin Collins</t>
  </si>
  <si>
    <t>9bc0b927-5f68-4449-b8ad-60fce0dfdf40</t>
  </si>
  <si>
    <t>Christina Poole</t>
  </si>
  <si>
    <t>19bf3708-291c-44e7-8cba-7559553b9023</t>
  </si>
  <si>
    <t>Glenda Reyes</t>
  </si>
  <si>
    <t>af00ac9c-04aa-40f4-abde-94b151dca614</t>
  </si>
  <si>
    <t>Neil Coleman</t>
  </si>
  <si>
    <t>0d355a77-5656-4222-a2c3-a8f41ced977f</t>
  </si>
  <si>
    <t>Richard Hawkins</t>
  </si>
  <si>
    <t>aa54f7d9-8fa5-43f4-8e03-c2b97a3fabf6</t>
  </si>
  <si>
    <t>Hector Brown</t>
  </si>
  <si>
    <t>600a33e0-956a-4d0a-8639-a732cab36d9a</t>
  </si>
  <si>
    <t>Randall Davis</t>
  </si>
  <si>
    <t>e21b714d-b96f-47ca-868f-847dbbebaeab</t>
  </si>
  <si>
    <t>James Brown</t>
  </si>
  <si>
    <t>1b9bd056-2495-4436-85d3-dfc5563535a7</t>
  </si>
  <si>
    <t>Kimberly Freeman</t>
  </si>
  <si>
    <t>18a63bc1-28da-44e9-9c68-d5a039765e67</t>
  </si>
  <si>
    <t>David Chang</t>
  </si>
  <si>
    <t>40fac969-94d3-494c-927c-eb57b5f4fdd9</t>
  </si>
  <si>
    <t>Courtney Ramos MD</t>
  </si>
  <si>
    <t>720fdd0c-897d-4b95-8278-9898f9436484</t>
  </si>
  <si>
    <t>Jill Duncan</t>
  </si>
  <si>
    <t>53c9c6e7-eae4-42d9-9f31-70e336feefd9</t>
  </si>
  <si>
    <t>Matthew Herrera</t>
  </si>
  <si>
    <t>612b3ae5-4204-4cdf-acac-766dc271a51d</t>
  </si>
  <si>
    <t>Alexis Greene</t>
  </si>
  <si>
    <t>85069869-eaa9-44c5-9265-aae4f7aa7f67</t>
  </si>
  <si>
    <t>Caitlyn Fuentes</t>
  </si>
  <si>
    <t>5413ab4f-6e8d-4c12-a3fc-ac28071cedbc</t>
  </si>
  <si>
    <t>Katherine Martin</t>
  </si>
  <si>
    <t>b276f328-1794-4769-a9c1-0a3f7ff4f1fa</t>
  </si>
  <si>
    <t>Christopher Barker</t>
  </si>
  <si>
    <t>a14aaab7-0712-4089-b468-a16dc4ded9b8</t>
  </si>
  <si>
    <t>Jason Daniels</t>
  </si>
  <si>
    <t>8677e930-edd9-40fe-b957-252ea095b7ec</t>
  </si>
  <si>
    <t>Derek Dawson</t>
  </si>
  <si>
    <t>fc3faef7-c285-46b8-8a94-0d9a5e61d82b</t>
  </si>
  <si>
    <t>Suzanne Taylor</t>
  </si>
  <si>
    <t>5855a0be-6400-4dd4-8d48-6459ab9e5f4d</t>
  </si>
  <si>
    <t>Jacob Evans</t>
  </si>
  <si>
    <t>720c5845-0d95-444f-b979-5b41de947706</t>
  </si>
  <si>
    <t>Abigail Gonzalez</t>
  </si>
  <si>
    <t>66a43bfe-3f29-4f19-892e-46b2964ba7e1</t>
  </si>
  <si>
    <t>Bryan Hill</t>
  </si>
  <si>
    <t>e3a94046-ecf3-4626-b538-e281d7e55f32</t>
  </si>
  <si>
    <t>Andrew King</t>
  </si>
  <si>
    <t>df4f8ee0-a9e2-47c2-b7da-cedb87a53664</t>
  </si>
  <si>
    <t>Charles Gross</t>
  </si>
  <si>
    <t>a85b2a5e-a6b4-41f9-9505-fbbb9cf9b577</t>
  </si>
  <si>
    <t>Jennifer Norris</t>
  </si>
  <si>
    <t>de57772b-75c3-4325-ab3b-32d059d82e8e</t>
  </si>
  <si>
    <t>Lawrence Morris</t>
  </si>
  <si>
    <t>93c49865-f3ab-4368-ab61-6beb35a8cc21</t>
  </si>
  <si>
    <t>William Fowler</t>
  </si>
  <si>
    <t>20ca5dbd-624e-49c4-9b31-c221e4c66eac</t>
  </si>
  <si>
    <t>Randall Harrison</t>
  </si>
  <si>
    <t>3170ebc4-ffb9-4902-86c4-75d50f543343</t>
  </si>
  <si>
    <t>Richard Le</t>
  </si>
  <si>
    <t>46e6c6f8-56c5-4c4a-a399-808c8ab3a450</t>
  </si>
  <si>
    <t>Jacob Welch</t>
  </si>
  <si>
    <t>1a72ed36-cc93-4f6f-b858-c4fbcc7081fb</t>
  </si>
  <si>
    <t>Melissa Jackson</t>
  </si>
  <si>
    <t>83da638a-99fe-48ef-bab3-9c3d2560caaa</t>
  </si>
  <si>
    <t>Melanie Bradshaw</t>
  </si>
  <si>
    <t>ebd79a05-d602-4c53-848e-3e5de055de34</t>
  </si>
  <si>
    <t>Anthony Brown</t>
  </si>
  <si>
    <t>c51eddcf-120c-4136-ac8a-c6b58483ca2b</t>
  </si>
  <si>
    <t>Jo Burch</t>
  </si>
  <si>
    <t>796acce5-7f02-4623-8845-c8dd71477206</t>
  </si>
  <si>
    <t>Diane Shelton</t>
  </si>
  <si>
    <t>31be8874-804f-4336-9574-67c4af86f3cc</t>
  </si>
  <si>
    <t>Jessica Walter</t>
  </si>
  <si>
    <t>6c34f90f-ae0d-44c0-b5b9-acfa1e78b46d</t>
  </si>
  <si>
    <t>Kenneth Horn</t>
  </si>
  <si>
    <t>03540ba8-2e0b-42df-a7eb-cfef4ace60b7</t>
  </si>
  <si>
    <t>Angel Roman</t>
  </si>
  <si>
    <t>7699f1f1-a348-4366-8b59-ca7278876f33</t>
  </si>
  <si>
    <t>Todd Mercado</t>
  </si>
  <si>
    <t>e6f6de37-cc6f-41f5-9e43-601b69a5f6d1</t>
  </si>
  <si>
    <t>April Clark</t>
  </si>
  <si>
    <t>dcd74605-703c-4a87-9fe1-376447a0d8c4</t>
  </si>
  <si>
    <t>Jennifer Shannon</t>
  </si>
  <si>
    <t>3ab3cf9f-7455-4250-bb2f-61394901bf9d</t>
  </si>
  <si>
    <t>Jennifer Vega</t>
  </si>
  <si>
    <t>6ec0dd32-8906-4882-83c5-a4c023cacb2d</t>
  </si>
  <si>
    <t>Michael Parrish</t>
  </si>
  <si>
    <t>b0e48be1-5af1-4abe-a648-91517ad5198c</t>
  </si>
  <si>
    <t>Tiffany Davis</t>
  </si>
  <si>
    <t>22601535-1947-4a42-b99e-df48278fe65e</t>
  </si>
  <si>
    <t>Sara Gould</t>
  </si>
  <si>
    <t>493b0227-b5b2-4ddb-8063-572ea811d398</t>
  </si>
  <si>
    <t>Kathleen Rodriguez</t>
  </si>
  <si>
    <t>77016a3e-21f9-4660-b806-b1db2ba11e5b</t>
  </si>
  <si>
    <t>Jeffrey Watson</t>
  </si>
  <si>
    <t>72c39ae3-6566-4514-a55f-7dc87e69aea4</t>
  </si>
  <si>
    <t>Joseph Johnson</t>
  </si>
  <si>
    <t>9cca1e5f-b052-4240-a065-351389b68f19</t>
  </si>
  <si>
    <t>Meghan Thompson</t>
  </si>
  <si>
    <t>417775e4-e3e1-4dc8-82f4-d54843b13616</t>
  </si>
  <si>
    <t>Abigail Rios</t>
  </si>
  <si>
    <t>08ca00f5-7e53-4424-8be3-958db401cc39</t>
  </si>
  <si>
    <t>Suzanne Gross</t>
  </si>
  <si>
    <t>2d81b5e6-5af6-4552-9a4d-8f369434f864</t>
  </si>
  <si>
    <t>Jack Johnson</t>
  </si>
  <si>
    <t>23a6d5eb-fff6-406e-b960-64103e7038f0</t>
  </si>
  <si>
    <t>Patricia Fox</t>
  </si>
  <si>
    <t>3507c0ea-dff5-42b8-8525-486148ade440</t>
  </si>
  <si>
    <t>Kelly Guerra</t>
  </si>
  <si>
    <t>3045d288-63a1-4fb5-b981-1a894198b9c1</t>
  </si>
  <si>
    <t>Rachel Serrano</t>
  </si>
  <si>
    <t>0b421877-1add-4d3e-a967-ec4c849708e9</t>
  </si>
  <si>
    <t>Maria Hickman</t>
  </si>
  <si>
    <t>1572ddfe-5431-4123-9ef5-deeac4c0e0fb</t>
  </si>
  <si>
    <t>Charles Gonzalez</t>
  </si>
  <si>
    <t>90bd151e-48a4-4069-9ab4-87905e646bce</t>
  </si>
  <si>
    <t>Aaron Lang</t>
  </si>
  <si>
    <t>40691ada-e5ac-4173-a0b2-6213a35df1fe</t>
  </si>
  <si>
    <t>Jerry Nunez</t>
  </si>
  <si>
    <t>88af29ae-d7dc-4b8f-bf08-5e2853f538d3</t>
  </si>
  <si>
    <t>Megan Davis</t>
  </si>
  <si>
    <t>baadc7b3-7058-46a3-a6f0-2aec382ab480</t>
  </si>
  <si>
    <t>Lisa Mills</t>
  </si>
  <si>
    <t>c76d80ad-6927-4f63-8881-b297491840dd</t>
  </si>
  <si>
    <t>Alexander Kennedy</t>
  </si>
  <si>
    <t>c0d40d89-c7ef-488b-82be-734537a1b559</t>
  </si>
  <si>
    <t>Jonathan Parker</t>
  </si>
  <si>
    <t>Bill Amount($)</t>
  </si>
  <si>
    <t>Age at admission</t>
  </si>
  <si>
    <t>Age Group</t>
  </si>
  <si>
    <t>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</si>
</sst>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18" fillId="33" borderId="0" xfId="0" applyFont="1" applyFill="1"/>
    <xf numFmtId="164" fontId="18" fillId="33" borderId="0" xfId="0" applyNumberFormat="1" applyFont="1" applyFill="1"/>
    <xf numFmtId="164" fontId="0" fillId="0" borderId="0" xfId="0" applyNumberFormat="1"/>
    <xf numFmtId="166" fontId="18" fillId="33" borderId="0" xfId="0" applyNumberFormat="1" applyFont="1" applyFill="1"/>
    <xf numFmtId="166" fontId="0" fillId="0" borderId="0" xfId="0" applyNumberFormat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1"/>
  <sheetViews>
    <sheetView tabSelected="1" workbookViewId="0">
      <pane ySplit="1" topLeftCell="A2" activePane="bottomLeft" state="frozen"/>
      <selection pane="bottomLeft" activeCell="M1" sqref="M1:M1048576"/>
    </sheetView>
  </sheetViews>
  <sheetFormatPr defaultRowHeight="15" x14ac:dyDescent="0.25"/>
  <cols>
    <col min="1" max="1" width="19.85546875" customWidth="1"/>
    <col min="2" max="2" width="19" customWidth="1"/>
    <col min="3" max="3" width="18.5703125" style="6" customWidth="1"/>
    <col min="4" max="4" width="14.5703125" customWidth="1"/>
    <col min="5" max="5" width="31" customWidth="1"/>
    <col min="6" max="6" width="11.7109375" customWidth="1"/>
    <col min="7" max="7" width="19.42578125" customWidth="1"/>
    <col min="8" max="8" width="23.28515625" style="6" customWidth="1"/>
    <col min="9" max="9" width="25.5703125" style="6" customWidth="1"/>
    <col min="10" max="10" width="19" style="4" customWidth="1"/>
    <col min="11" max="11" width="18.7109375" customWidth="1"/>
    <col min="12" max="12" width="17.7109375" customWidth="1"/>
    <col min="13" max="13" width="23" customWidth="1"/>
  </cols>
  <sheetData>
    <row r="1" spans="1:13" ht="15.75" x14ac:dyDescent="0.25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3" t="s">
        <v>2150</v>
      </c>
      <c r="K1" s="2" t="s">
        <v>2153</v>
      </c>
      <c r="L1" s="7" t="s">
        <v>2151</v>
      </c>
      <c r="M1" s="7" t="s">
        <v>2152</v>
      </c>
    </row>
    <row r="2" spans="1:13" x14ac:dyDescent="0.25">
      <c r="A2" t="s">
        <v>9</v>
      </c>
      <c r="B2" t="s">
        <v>10</v>
      </c>
      <c r="C2" s="6">
        <v>26024</v>
      </c>
      <c r="D2" t="s">
        <v>11</v>
      </c>
      <c r="E2" t="s">
        <v>12</v>
      </c>
      <c r="F2" t="s">
        <v>13</v>
      </c>
      <c r="G2" t="s">
        <v>14</v>
      </c>
      <c r="H2" s="6">
        <v>44389</v>
      </c>
      <c r="I2" s="6">
        <v>44390</v>
      </c>
      <c r="J2" s="4">
        <v>14651.34</v>
      </c>
      <c r="K2">
        <f>I2-H2</f>
        <v>1</v>
      </c>
      <c r="L2">
        <f t="shared" ref="L2:L65" si="0">IF(C2&gt;H2,"Invalid DOB",DATEDIF(C2,H2,"Y"))</f>
        <v>50</v>
      </c>
      <c r="M2" t="str">
        <f>IF(L2="Invalid DOB","Invalid DOB",IF(L2&lt;=4,"Early childhood",IF(L2&lt;=17,"Children and Adolescent",IF(L2&lt;=24,"Young Adults",IF(L2&lt;=59,"Adults","Older Adults")))))</f>
        <v>Adults</v>
      </c>
    </row>
    <row r="3" spans="1:13" x14ac:dyDescent="0.25">
      <c r="A3" t="s">
        <v>15</v>
      </c>
      <c r="B3" t="s">
        <v>16</v>
      </c>
      <c r="C3" s="6">
        <v>20871</v>
      </c>
      <c r="D3" t="s">
        <v>11</v>
      </c>
      <c r="E3" t="s">
        <v>17</v>
      </c>
      <c r="F3" t="s">
        <v>18</v>
      </c>
      <c r="G3" t="s">
        <v>19</v>
      </c>
      <c r="H3" s="6">
        <v>44390</v>
      </c>
      <c r="I3" s="6">
        <v>44417</v>
      </c>
      <c r="J3" s="4">
        <v>718.94</v>
      </c>
      <c r="K3">
        <f t="shared" ref="K3:K66" si="1">I3-H3</f>
        <v>27</v>
      </c>
      <c r="L3">
        <f t="shared" si="0"/>
        <v>64</v>
      </c>
      <c r="M3" t="str">
        <f t="shared" ref="M3:M66" si="2">IF(L3="Invalid DOB","Invalid DOB",IF(L3&lt;=4,"Early childhood",IF(L3&lt;=17,"Children and Adolescent",IF(L3&lt;=24,"Young Adults",IF(L3&lt;=59,"Adults","Older Adults")))))</f>
        <v>Older Adults</v>
      </c>
    </row>
    <row r="4" spans="1:13" x14ac:dyDescent="0.25">
      <c r="A4" t="s">
        <v>20</v>
      </c>
      <c r="B4" t="s">
        <v>21</v>
      </c>
      <c r="C4" s="6">
        <v>32108</v>
      </c>
      <c r="D4" t="s">
        <v>11</v>
      </c>
      <c r="E4" t="s">
        <v>22</v>
      </c>
      <c r="F4" t="s">
        <v>23</v>
      </c>
      <c r="G4" t="s">
        <v>24</v>
      </c>
      <c r="H4" s="6">
        <v>44391</v>
      </c>
      <c r="I4" s="6">
        <v>44414</v>
      </c>
      <c r="J4" s="4">
        <v>1765.14</v>
      </c>
      <c r="K4">
        <f t="shared" si="1"/>
        <v>23</v>
      </c>
      <c r="L4">
        <f t="shared" si="0"/>
        <v>33</v>
      </c>
      <c r="M4" t="str">
        <f t="shared" si="2"/>
        <v>Adults</v>
      </c>
    </row>
    <row r="5" spans="1:13" x14ac:dyDescent="0.25">
      <c r="A5" t="s">
        <v>25</v>
      </c>
      <c r="B5" t="s">
        <v>26</v>
      </c>
      <c r="C5" s="6">
        <v>44536</v>
      </c>
      <c r="D5" t="s">
        <v>27</v>
      </c>
      <c r="E5" t="s">
        <v>28</v>
      </c>
      <c r="F5" t="s">
        <v>29</v>
      </c>
      <c r="G5" t="s">
        <v>30</v>
      </c>
      <c r="H5" s="6">
        <v>44392</v>
      </c>
      <c r="I5" s="6">
        <v>44413</v>
      </c>
      <c r="J5" s="4">
        <v>21413.360000000001</v>
      </c>
      <c r="K5">
        <f t="shared" si="1"/>
        <v>21</v>
      </c>
      <c r="L5" t="str">
        <f t="shared" si="0"/>
        <v>Invalid DOB</v>
      </c>
      <c r="M5" t="str">
        <f t="shared" si="2"/>
        <v>Invalid DOB</v>
      </c>
    </row>
    <row r="6" spans="1:13" x14ac:dyDescent="0.25">
      <c r="A6" t="s">
        <v>31</v>
      </c>
      <c r="B6" t="s">
        <v>32</v>
      </c>
      <c r="C6" s="6">
        <v>33226</v>
      </c>
      <c r="D6" t="s">
        <v>27</v>
      </c>
      <c r="E6" t="s">
        <v>33</v>
      </c>
      <c r="F6" t="s">
        <v>34</v>
      </c>
      <c r="G6" t="s">
        <v>35</v>
      </c>
      <c r="H6" s="6">
        <v>44393</v>
      </c>
      <c r="I6" s="6">
        <v>44397</v>
      </c>
      <c r="J6" s="4">
        <v>4879.91</v>
      </c>
      <c r="K6">
        <f t="shared" si="1"/>
        <v>4</v>
      </c>
      <c r="L6">
        <f t="shared" si="0"/>
        <v>30</v>
      </c>
      <c r="M6" t="str">
        <f t="shared" si="2"/>
        <v>Adults</v>
      </c>
    </row>
    <row r="7" spans="1:13" x14ac:dyDescent="0.25">
      <c r="A7" t="s">
        <v>36</v>
      </c>
      <c r="B7" t="s">
        <v>37</v>
      </c>
      <c r="C7" s="6">
        <v>29411</v>
      </c>
      <c r="D7" t="s">
        <v>11</v>
      </c>
      <c r="E7" t="s">
        <v>38</v>
      </c>
      <c r="F7" t="s">
        <v>39</v>
      </c>
      <c r="G7" t="s">
        <v>40</v>
      </c>
      <c r="H7" s="6">
        <v>44393</v>
      </c>
      <c r="I7" s="6">
        <v>44397</v>
      </c>
      <c r="J7" s="4">
        <v>2691.17</v>
      </c>
      <c r="K7">
        <f t="shared" si="1"/>
        <v>4</v>
      </c>
      <c r="L7">
        <f t="shared" si="0"/>
        <v>41</v>
      </c>
      <c r="M7" t="str">
        <f t="shared" si="2"/>
        <v>Adults</v>
      </c>
    </row>
    <row r="8" spans="1:13" x14ac:dyDescent="0.25">
      <c r="A8" t="s">
        <v>41</v>
      </c>
      <c r="B8" t="s">
        <v>42</v>
      </c>
      <c r="C8" s="6">
        <v>44096</v>
      </c>
      <c r="D8" t="s">
        <v>11</v>
      </c>
      <c r="E8" t="s">
        <v>28</v>
      </c>
      <c r="F8" t="s">
        <v>43</v>
      </c>
      <c r="G8" t="s">
        <v>44</v>
      </c>
      <c r="H8" s="6">
        <v>44394</v>
      </c>
      <c r="I8" s="6">
        <v>44416</v>
      </c>
      <c r="J8" s="4">
        <v>13922.34</v>
      </c>
      <c r="K8">
        <f t="shared" si="1"/>
        <v>22</v>
      </c>
      <c r="L8">
        <f t="shared" si="0"/>
        <v>0</v>
      </c>
      <c r="M8" t="str">
        <f t="shared" si="2"/>
        <v>Early childhood</v>
      </c>
    </row>
    <row r="9" spans="1:13" x14ac:dyDescent="0.25">
      <c r="A9" t="s">
        <v>45</v>
      </c>
      <c r="B9" t="s">
        <v>46</v>
      </c>
      <c r="C9" s="6">
        <v>28075</v>
      </c>
      <c r="D9" t="s">
        <v>11</v>
      </c>
      <c r="E9" t="s">
        <v>47</v>
      </c>
      <c r="F9" t="s">
        <v>29</v>
      </c>
      <c r="G9" t="s">
        <v>48</v>
      </c>
      <c r="H9" s="6">
        <v>44394</v>
      </c>
      <c r="I9" s="6">
        <v>44417</v>
      </c>
      <c r="J9" s="4">
        <v>5717.08</v>
      </c>
      <c r="K9">
        <f t="shared" si="1"/>
        <v>23</v>
      </c>
      <c r="L9">
        <f t="shared" si="0"/>
        <v>44</v>
      </c>
      <c r="M9" t="str">
        <f t="shared" si="2"/>
        <v>Adults</v>
      </c>
    </row>
    <row r="10" spans="1:13" x14ac:dyDescent="0.25">
      <c r="A10" t="s">
        <v>49</v>
      </c>
      <c r="B10" t="s">
        <v>50</v>
      </c>
      <c r="C10" s="6">
        <v>13133</v>
      </c>
      <c r="D10" t="s">
        <v>11</v>
      </c>
      <c r="E10" t="s">
        <v>51</v>
      </c>
      <c r="F10" t="s">
        <v>13</v>
      </c>
      <c r="G10" t="s">
        <v>52</v>
      </c>
      <c r="H10" s="6">
        <v>44398</v>
      </c>
      <c r="I10" s="6">
        <v>44412</v>
      </c>
      <c r="J10" s="4">
        <v>2652.33</v>
      </c>
      <c r="K10">
        <f t="shared" si="1"/>
        <v>14</v>
      </c>
      <c r="L10">
        <f t="shared" si="0"/>
        <v>85</v>
      </c>
      <c r="M10" t="str">
        <f t="shared" si="2"/>
        <v>Older Adults</v>
      </c>
    </row>
    <row r="11" spans="1:13" x14ac:dyDescent="0.25">
      <c r="A11" t="s">
        <v>53</v>
      </c>
      <c r="B11" t="s">
        <v>54</v>
      </c>
      <c r="C11" s="6">
        <v>35231</v>
      </c>
      <c r="D11" t="s">
        <v>11</v>
      </c>
      <c r="E11" t="s">
        <v>55</v>
      </c>
      <c r="F11" t="s">
        <v>56</v>
      </c>
      <c r="G11" t="s">
        <v>57</v>
      </c>
      <c r="H11" s="6">
        <v>44400</v>
      </c>
      <c r="I11" s="6">
        <v>44402</v>
      </c>
      <c r="J11" s="4">
        <v>3799.87</v>
      </c>
      <c r="K11">
        <f t="shared" si="1"/>
        <v>2</v>
      </c>
      <c r="L11">
        <f t="shared" si="0"/>
        <v>25</v>
      </c>
      <c r="M11" t="str">
        <f t="shared" si="2"/>
        <v>Adults</v>
      </c>
    </row>
    <row r="12" spans="1:13" x14ac:dyDescent="0.25">
      <c r="A12" t="s">
        <v>58</v>
      </c>
      <c r="B12" t="s">
        <v>59</v>
      </c>
      <c r="C12" s="6">
        <v>30433</v>
      </c>
      <c r="D12" t="s">
        <v>11</v>
      </c>
      <c r="E12" t="s">
        <v>60</v>
      </c>
      <c r="F12" t="s">
        <v>61</v>
      </c>
      <c r="G12" t="s">
        <v>62</v>
      </c>
      <c r="H12" s="6">
        <v>44401</v>
      </c>
      <c r="I12" s="6">
        <v>44417</v>
      </c>
      <c r="J12" s="4">
        <v>73896.19</v>
      </c>
      <c r="K12">
        <f t="shared" si="1"/>
        <v>16</v>
      </c>
      <c r="L12">
        <f t="shared" si="0"/>
        <v>38</v>
      </c>
      <c r="M12" t="str">
        <f t="shared" si="2"/>
        <v>Adults</v>
      </c>
    </row>
    <row r="13" spans="1:13" x14ac:dyDescent="0.25">
      <c r="A13" t="s">
        <v>63</v>
      </c>
      <c r="B13" t="s">
        <v>64</v>
      </c>
      <c r="C13" s="6">
        <v>13922</v>
      </c>
      <c r="D13" t="s">
        <v>27</v>
      </c>
      <c r="E13" t="s">
        <v>65</v>
      </c>
      <c r="F13" t="s">
        <v>23</v>
      </c>
      <c r="G13" t="s">
        <v>66</v>
      </c>
      <c r="H13" s="6">
        <v>44406</v>
      </c>
      <c r="I13" s="6">
        <v>44436</v>
      </c>
      <c r="J13" s="4">
        <v>333.02</v>
      </c>
      <c r="K13">
        <f t="shared" si="1"/>
        <v>30</v>
      </c>
      <c r="L13">
        <f t="shared" si="0"/>
        <v>83</v>
      </c>
      <c r="M13" t="str">
        <f t="shared" si="2"/>
        <v>Older Adults</v>
      </c>
    </row>
    <row r="14" spans="1:13" x14ac:dyDescent="0.25">
      <c r="A14" t="s">
        <v>67</v>
      </c>
      <c r="B14" t="s">
        <v>68</v>
      </c>
      <c r="C14" s="6">
        <v>37762</v>
      </c>
      <c r="D14" t="s">
        <v>11</v>
      </c>
      <c r="E14" t="s">
        <v>12</v>
      </c>
      <c r="F14" t="s">
        <v>13</v>
      </c>
      <c r="G14" t="s">
        <v>69</v>
      </c>
      <c r="H14" s="6">
        <v>44406</v>
      </c>
      <c r="I14" s="6">
        <v>44421</v>
      </c>
      <c r="J14" s="4">
        <v>18390.09</v>
      </c>
      <c r="K14">
        <f t="shared" si="1"/>
        <v>15</v>
      </c>
      <c r="L14">
        <f t="shared" si="0"/>
        <v>18</v>
      </c>
      <c r="M14" t="str">
        <f t="shared" si="2"/>
        <v>Young Adults</v>
      </c>
    </row>
    <row r="15" spans="1:13" x14ac:dyDescent="0.25">
      <c r="A15" t="s">
        <v>70</v>
      </c>
      <c r="B15" t="s">
        <v>71</v>
      </c>
      <c r="C15" s="6">
        <v>40306</v>
      </c>
      <c r="D15" t="s">
        <v>11</v>
      </c>
      <c r="E15" t="s">
        <v>72</v>
      </c>
      <c r="F15" t="s">
        <v>73</v>
      </c>
      <c r="G15" t="s">
        <v>74</v>
      </c>
      <c r="H15" s="6">
        <v>44407</v>
      </c>
      <c r="I15" s="6">
        <v>44410</v>
      </c>
      <c r="J15" s="4">
        <v>3337.91</v>
      </c>
      <c r="K15">
        <f t="shared" si="1"/>
        <v>3</v>
      </c>
      <c r="L15">
        <f t="shared" si="0"/>
        <v>11</v>
      </c>
      <c r="M15" t="str">
        <f t="shared" si="2"/>
        <v>Children and Adolescent</v>
      </c>
    </row>
    <row r="16" spans="1:13" x14ac:dyDescent="0.25">
      <c r="A16" t="s">
        <v>75</v>
      </c>
      <c r="B16" t="s">
        <v>76</v>
      </c>
      <c r="C16" s="6">
        <v>12678</v>
      </c>
      <c r="D16" t="s">
        <v>11</v>
      </c>
      <c r="E16" t="s">
        <v>38</v>
      </c>
      <c r="F16" t="s">
        <v>13</v>
      </c>
      <c r="G16" t="s">
        <v>77</v>
      </c>
      <c r="H16" s="6">
        <v>44408</v>
      </c>
      <c r="I16" s="6">
        <v>44423</v>
      </c>
      <c r="J16" s="4">
        <v>1892.46</v>
      </c>
      <c r="K16">
        <f t="shared" si="1"/>
        <v>15</v>
      </c>
      <c r="L16">
        <f t="shared" si="0"/>
        <v>86</v>
      </c>
      <c r="M16" t="str">
        <f t="shared" si="2"/>
        <v>Older Adults</v>
      </c>
    </row>
    <row r="17" spans="1:13" x14ac:dyDescent="0.25">
      <c r="A17" t="s">
        <v>78</v>
      </c>
      <c r="B17" t="s">
        <v>79</v>
      </c>
      <c r="C17" s="6">
        <v>36081</v>
      </c>
      <c r="D17" t="s">
        <v>11</v>
      </c>
      <c r="E17" t="s">
        <v>80</v>
      </c>
      <c r="F17" t="s">
        <v>29</v>
      </c>
      <c r="G17" t="s">
        <v>81</v>
      </c>
      <c r="H17" s="6">
        <v>44409</v>
      </c>
      <c r="I17" s="6">
        <v>44413</v>
      </c>
      <c r="J17" s="4">
        <v>7391.17</v>
      </c>
      <c r="K17">
        <f t="shared" si="1"/>
        <v>4</v>
      </c>
      <c r="L17">
        <f t="shared" si="0"/>
        <v>22</v>
      </c>
      <c r="M17" t="str">
        <f t="shared" si="2"/>
        <v>Young Adults</v>
      </c>
    </row>
    <row r="18" spans="1:13" x14ac:dyDescent="0.25">
      <c r="A18" t="s">
        <v>82</v>
      </c>
      <c r="B18" t="s">
        <v>83</v>
      </c>
      <c r="C18" s="6">
        <v>32051</v>
      </c>
      <c r="D18" t="s">
        <v>11</v>
      </c>
      <c r="E18" t="s">
        <v>84</v>
      </c>
      <c r="F18" t="s">
        <v>85</v>
      </c>
      <c r="G18" t="s">
        <v>19</v>
      </c>
      <c r="H18" s="6">
        <v>44412</v>
      </c>
      <c r="I18" s="6">
        <v>44422</v>
      </c>
      <c r="J18" s="4">
        <v>2960.11</v>
      </c>
      <c r="K18">
        <f t="shared" si="1"/>
        <v>10</v>
      </c>
      <c r="L18">
        <f t="shared" si="0"/>
        <v>33</v>
      </c>
      <c r="M18" t="str">
        <f t="shared" si="2"/>
        <v>Adults</v>
      </c>
    </row>
    <row r="19" spans="1:13" x14ac:dyDescent="0.25">
      <c r="A19" t="s">
        <v>86</v>
      </c>
      <c r="B19" t="s">
        <v>87</v>
      </c>
      <c r="C19" s="6">
        <v>28616</v>
      </c>
      <c r="D19" t="s">
        <v>11</v>
      </c>
      <c r="E19" t="s">
        <v>60</v>
      </c>
      <c r="F19" t="s">
        <v>88</v>
      </c>
      <c r="G19" t="s">
        <v>89</v>
      </c>
      <c r="H19" s="6">
        <v>44412</v>
      </c>
      <c r="I19" s="6">
        <v>44418</v>
      </c>
      <c r="J19" s="4">
        <v>73517.149999999994</v>
      </c>
      <c r="K19">
        <f t="shared" si="1"/>
        <v>6</v>
      </c>
      <c r="L19">
        <f t="shared" si="0"/>
        <v>43</v>
      </c>
      <c r="M19" t="str">
        <f t="shared" si="2"/>
        <v>Adults</v>
      </c>
    </row>
    <row r="20" spans="1:13" x14ac:dyDescent="0.25">
      <c r="A20" t="s">
        <v>90</v>
      </c>
      <c r="B20" t="s">
        <v>91</v>
      </c>
      <c r="C20" s="6">
        <v>12631</v>
      </c>
      <c r="D20" t="s">
        <v>11</v>
      </c>
      <c r="E20" t="s">
        <v>92</v>
      </c>
      <c r="F20" t="s">
        <v>93</v>
      </c>
      <c r="G20" t="s">
        <v>94</v>
      </c>
      <c r="H20" s="6">
        <v>44414</v>
      </c>
      <c r="I20" s="6">
        <v>44439</v>
      </c>
      <c r="J20" s="4">
        <v>1070.3900000000001</v>
      </c>
      <c r="K20">
        <f t="shared" si="1"/>
        <v>25</v>
      </c>
      <c r="L20">
        <f t="shared" si="0"/>
        <v>87</v>
      </c>
      <c r="M20" t="str">
        <f t="shared" si="2"/>
        <v>Older Adults</v>
      </c>
    </row>
    <row r="21" spans="1:13" x14ac:dyDescent="0.25">
      <c r="A21" t="s">
        <v>95</v>
      </c>
      <c r="B21" t="s">
        <v>96</v>
      </c>
      <c r="C21" s="6">
        <v>17093</v>
      </c>
      <c r="D21" t="s">
        <v>11</v>
      </c>
      <c r="E21" t="s">
        <v>97</v>
      </c>
      <c r="F21" t="s">
        <v>98</v>
      </c>
      <c r="G21" t="s">
        <v>99</v>
      </c>
      <c r="H21" s="6">
        <v>44415</v>
      </c>
      <c r="I21" s="6">
        <v>44431</v>
      </c>
      <c r="J21" s="4">
        <v>330.81</v>
      </c>
      <c r="K21">
        <f t="shared" si="1"/>
        <v>16</v>
      </c>
      <c r="L21">
        <f t="shared" si="0"/>
        <v>74</v>
      </c>
      <c r="M21" t="str">
        <f t="shared" si="2"/>
        <v>Older Adults</v>
      </c>
    </row>
    <row r="22" spans="1:13" x14ac:dyDescent="0.25">
      <c r="A22" t="s">
        <v>100</v>
      </c>
      <c r="B22" t="s">
        <v>101</v>
      </c>
      <c r="C22" s="6">
        <v>22655</v>
      </c>
      <c r="D22" t="s">
        <v>27</v>
      </c>
      <c r="E22" t="s">
        <v>102</v>
      </c>
      <c r="F22" t="s">
        <v>103</v>
      </c>
      <c r="G22" t="s">
        <v>104</v>
      </c>
      <c r="H22" s="6">
        <v>44416</v>
      </c>
      <c r="I22" s="6">
        <v>44435</v>
      </c>
      <c r="J22" s="4">
        <v>15423.02</v>
      </c>
      <c r="K22">
        <f t="shared" si="1"/>
        <v>19</v>
      </c>
      <c r="L22">
        <f t="shared" si="0"/>
        <v>59</v>
      </c>
      <c r="M22" t="str">
        <f t="shared" si="2"/>
        <v>Adults</v>
      </c>
    </row>
    <row r="23" spans="1:13" x14ac:dyDescent="0.25">
      <c r="A23" t="s">
        <v>105</v>
      </c>
      <c r="B23" t="s">
        <v>106</v>
      </c>
      <c r="C23" s="6">
        <v>31690</v>
      </c>
      <c r="D23" t="s">
        <v>27</v>
      </c>
      <c r="E23" t="s">
        <v>22</v>
      </c>
      <c r="F23" t="s">
        <v>23</v>
      </c>
      <c r="G23" t="s">
        <v>107</v>
      </c>
      <c r="H23" s="6">
        <v>44419</v>
      </c>
      <c r="I23" s="6">
        <v>44443</v>
      </c>
      <c r="J23" s="4">
        <v>2517.7399999999998</v>
      </c>
      <c r="K23">
        <f t="shared" si="1"/>
        <v>24</v>
      </c>
      <c r="L23">
        <f t="shared" si="0"/>
        <v>34</v>
      </c>
      <c r="M23" t="str">
        <f t="shared" si="2"/>
        <v>Adults</v>
      </c>
    </row>
    <row r="24" spans="1:13" x14ac:dyDescent="0.25">
      <c r="A24" t="s">
        <v>108</v>
      </c>
      <c r="B24" t="s">
        <v>109</v>
      </c>
      <c r="C24" s="6">
        <v>31295</v>
      </c>
      <c r="D24" t="s">
        <v>27</v>
      </c>
      <c r="E24" t="s">
        <v>22</v>
      </c>
      <c r="F24" t="s">
        <v>110</v>
      </c>
      <c r="G24" t="s">
        <v>111</v>
      </c>
      <c r="H24" s="6">
        <v>44419</v>
      </c>
      <c r="I24" s="6">
        <v>44433</v>
      </c>
      <c r="J24" s="4">
        <v>1072.44</v>
      </c>
      <c r="K24">
        <f t="shared" si="1"/>
        <v>14</v>
      </c>
      <c r="L24">
        <f t="shared" si="0"/>
        <v>35</v>
      </c>
      <c r="M24" t="str">
        <f t="shared" si="2"/>
        <v>Adults</v>
      </c>
    </row>
    <row r="25" spans="1:13" x14ac:dyDescent="0.25">
      <c r="A25" t="s">
        <v>112</v>
      </c>
      <c r="B25" t="s">
        <v>113</v>
      </c>
      <c r="C25" s="6">
        <v>29895</v>
      </c>
      <c r="D25" t="s">
        <v>11</v>
      </c>
      <c r="E25" t="s">
        <v>65</v>
      </c>
      <c r="F25" t="s">
        <v>114</v>
      </c>
      <c r="G25" t="s">
        <v>66</v>
      </c>
      <c r="H25" s="6">
        <v>44420</v>
      </c>
      <c r="I25" s="6">
        <v>44441</v>
      </c>
      <c r="J25" s="4">
        <v>190.58</v>
      </c>
      <c r="K25">
        <f t="shared" si="1"/>
        <v>21</v>
      </c>
      <c r="L25">
        <f t="shared" si="0"/>
        <v>39</v>
      </c>
      <c r="M25" t="str">
        <f t="shared" si="2"/>
        <v>Adults</v>
      </c>
    </row>
    <row r="26" spans="1:13" x14ac:dyDescent="0.25">
      <c r="A26" t="s">
        <v>115</v>
      </c>
      <c r="B26" t="s">
        <v>116</v>
      </c>
      <c r="C26" s="6">
        <v>10577</v>
      </c>
      <c r="D26" t="s">
        <v>11</v>
      </c>
      <c r="E26" t="s">
        <v>38</v>
      </c>
      <c r="F26" t="s">
        <v>39</v>
      </c>
      <c r="G26" t="s">
        <v>117</v>
      </c>
      <c r="H26" s="6">
        <v>44420</v>
      </c>
      <c r="I26" s="6">
        <v>44435</v>
      </c>
      <c r="J26" s="4">
        <v>4505.97</v>
      </c>
      <c r="K26">
        <f t="shared" si="1"/>
        <v>15</v>
      </c>
      <c r="L26">
        <f t="shared" si="0"/>
        <v>92</v>
      </c>
      <c r="M26" t="str">
        <f t="shared" si="2"/>
        <v>Older Adults</v>
      </c>
    </row>
    <row r="27" spans="1:13" x14ac:dyDescent="0.25">
      <c r="A27" t="s">
        <v>118</v>
      </c>
      <c r="B27" t="s">
        <v>119</v>
      </c>
      <c r="C27" s="6">
        <v>28149</v>
      </c>
      <c r="D27" t="s">
        <v>27</v>
      </c>
      <c r="E27" t="s">
        <v>120</v>
      </c>
      <c r="F27" t="s">
        <v>23</v>
      </c>
      <c r="G27" t="s">
        <v>121</v>
      </c>
      <c r="H27" s="6">
        <v>44423</v>
      </c>
      <c r="I27" s="6">
        <v>44432</v>
      </c>
      <c r="J27" s="4">
        <v>2186.5700000000002</v>
      </c>
      <c r="K27">
        <f t="shared" si="1"/>
        <v>9</v>
      </c>
      <c r="L27">
        <f t="shared" si="0"/>
        <v>44</v>
      </c>
      <c r="M27" t="str">
        <f t="shared" si="2"/>
        <v>Adults</v>
      </c>
    </row>
    <row r="28" spans="1:13" x14ac:dyDescent="0.25">
      <c r="A28" t="s">
        <v>122</v>
      </c>
      <c r="B28" t="s">
        <v>123</v>
      </c>
      <c r="C28" s="6">
        <v>10929</v>
      </c>
      <c r="D28" t="s">
        <v>11</v>
      </c>
      <c r="E28" t="s">
        <v>28</v>
      </c>
      <c r="F28" t="s">
        <v>29</v>
      </c>
      <c r="G28" t="s">
        <v>124</v>
      </c>
      <c r="H28" s="6">
        <v>44423</v>
      </c>
      <c r="I28" s="6">
        <v>44440</v>
      </c>
      <c r="J28" s="4">
        <v>19838.39</v>
      </c>
      <c r="K28">
        <f t="shared" si="1"/>
        <v>17</v>
      </c>
      <c r="L28">
        <f t="shared" si="0"/>
        <v>91</v>
      </c>
      <c r="M28" t="str">
        <f t="shared" si="2"/>
        <v>Older Adults</v>
      </c>
    </row>
    <row r="29" spans="1:13" x14ac:dyDescent="0.25">
      <c r="A29" t="s">
        <v>125</v>
      </c>
      <c r="B29" t="s">
        <v>126</v>
      </c>
      <c r="C29" s="6">
        <v>37875</v>
      </c>
      <c r="D29" t="s">
        <v>11</v>
      </c>
      <c r="E29" t="s">
        <v>127</v>
      </c>
      <c r="F29" t="s">
        <v>114</v>
      </c>
      <c r="G29" t="s">
        <v>24</v>
      </c>
      <c r="H29" s="6">
        <v>44424</v>
      </c>
      <c r="I29" s="6">
        <v>44454</v>
      </c>
      <c r="J29" s="4">
        <v>2543.44</v>
      </c>
      <c r="K29">
        <f t="shared" si="1"/>
        <v>30</v>
      </c>
      <c r="L29">
        <f t="shared" si="0"/>
        <v>17</v>
      </c>
      <c r="M29" t="str">
        <f t="shared" si="2"/>
        <v>Children and Adolescent</v>
      </c>
    </row>
    <row r="30" spans="1:13" x14ac:dyDescent="0.25">
      <c r="A30" t="s">
        <v>128</v>
      </c>
      <c r="B30" t="s">
        <v>129</v>
      </c>
      <c r="C30" s="6">
        <v>42674</v>
      </c>
      <c r="D30" t="s">
        <v>11</v>
      </c>
      <c r="E30" t="s">
        <v>22</v>
      </c>
      <c r="F30" t="s">
        <v>110</v>
      </c>
      <c r="G30" t="s">
        <v>111</v>
      </c>
      <c r="H30" s="6">
        <v>44426</v>
      </c>
      <c r="I30" s="6">
        <v>44454</v>
      </c>
      <c r="J30" s="4">
        <v>2820.66</v>
      </c>
      <c r="K30">
        <f t="shared" si="1"/>
        <v>28</v>
      </c>
      <c r="L30">
        <f t="shared" si="0"/>
        <v>4</v>
      </c>
      <c r="M30" t="str">
        <f t="shared" si="2"/>
        <v>Early childhood</v>
      </c>
    </row>
    <row r="31" spans="1:13" x14ac:dyDescent="0.25">
      <c r="A31" t="s">
        <v>130</v>
      </c>
      <c r="B31" t="s">
        <v>131</v>
      </c>
      <c r="C31" s="6">
        <v>16544</v>
      </c>
      <c r="D31" t="s">
        <v>27</v>
      </c>
      <c r="E31" t="s">
        <v>97</v>
      </c>
      <c r="F31" t="s">
        <v>98</v>
      </c>
      <c r="G31" t="s">
        <v>132</v>
      </c>
      <c r="H31" s="6">
        <v>44428</v>
      </c>
      <c r="I31" s="6">
        <v>44438</v>
      </c>
      <c r="J31" s="4">
        <v>556.92999999999995</v>
      </c>
      <c r="K31">
        <f t="shared" si="1"/>
        <v>10</v>
      </c>
      <c r="L31">
        <f t="shared" si="0"/>
        <v>76</v>
      </c>
      <c r="M31" t="str">
        <f t="shared" si="2"/>
        <v>Older Adults</v>
      </c>
    </row>
    <row r="32" spans="1:13" x14ac:dyDescent="0.25">
      <c r="A32" t="s">
        <v>133</v>
      </c>
      <c r="B32" t="s">
        <v>134</v>
      </c>
      <c r="C32" s="6">
        <v>34742</v>
      </c>
      <c r="D32" t="s">
        <v>11</v>
      </c>
      <c r="E32" t="s">
        <v>17</v>
      </c>
      <c r="F32" t="s">
        <v>18</v>
      </c>
      <c r="G32" t="s">
        <v>135</v>
      </c>
      <c r="H32" s="6">
        <v>44429</v>
      </c>
      <c r="I32" s="6">
        <v>44454</v>
      </c>
      <c r="J32" s="4">
        <v>1719.63</v>
      </c>
      <c r="K32">
        <f t="shared" si="1"/>
        <v>25</v>
      </c>
      <c r="L32">
        <f t="shared" si="0"/>
        <v>26</v>
      </c>
      <c r="M32" t="str">
        <f t="shared" si="2"/>
        <v>Adults</v>
      </c>
    </row>
    <row r="33" spans="1:13" x14ac:dyDescent="0.25">
      <c r="A33" t="s">
        <v>136</v>
      </c>
      <c r="B33" t="s">
        <v>137</v>
      </c>
      <c r="C33" s="6">
        <v>45158</v>
      </c>
      <c r="D33" t="s">
        <v>27</v>
      </c>
      <c r="E33" t="s">
        <v>138</v>
      </c>
      <c r="F33" t="s">
        <v>110</v>
      </c>
      <c r="G33" t="s">
        <v>139</v>
      </c>
      <c r="H33" s="6">
        <v>44429</v>
      </c>
      <c r="I33" s="6">
        <v>44456</v>
      </c>
      <c r="J33" s="4">
        <v>1370.5</v>
      </c>
      <c r="K33">
        <f t="shared" si="1"/>
        <v>27</v>
      </c>
      <c r="L33" t="str">
        <f t="shared" si="0"/>
        <v>Invalid DOB</v>
      </c>
      <c r="M33" t="str">
        <f t="shared" si="2"/>
        <v>Invalid DOB</v>
      </c>
    </row>
    <row r="34" spans="1:13" x14ac:dyDescent="0.25">
      <c r="A34" t="s">
        <v>140</v>
      </c>
      <c r="B34" t="s">
        <v>141</v>
      </c>
      <c r="C34" s="6">
        <v>26553</v>
      </c>
      <c r="D34" t="s">
        <v>11</v>
      </c>
      <c r="E34" t="s">
        <v>142</v>
      </c>
      <c r="F34" t="s">
        <v>114</v>
      </c>
      <c r="G34" t="s">
        <v>143</v>
      </c>
      <c r="H34" s="6">
        <v>44432</v>
      </c>
      <c r="I34" s="6">
        <v>44457</v>
      </c>
      <c r="J34" s="4">
        <v>2353.4699999999998</v>
      </c>
      <c r="K34">
        <f t="shared" si="1"/>
        <v>25</v>
      </c>
      <c r="L34">
        <f t="shared" si="0"/>
        <v>48</v>
      </c>
      <c r="M34" t="str">
        <f t="shared" si="2"/>
        <v>Adults</v>
      </c>
    </row>
    <row r="35" spans="1:13" x14ac:dyDescent="0.25">
      <c r="A35" t="s">
        <v>144</v>
      </c>
      <c r="B35" t="s">
        <v>145</v>
      </c>
      <c r="C35" s="6">
        <v>22489</v>
      </c>
      <c r="D35" t="s">
        <v>11</v>
      </c>
      <c r="E35" t="s">
        <v>138</v>
      </c>
      <c r="F35" t="s">
        <v>110</v>
      </c>
      <c r="G35" t="s">
        <v>146</v>
      </c>
      <c r="H35" s="6">
        <v>44435</v>
      </c>
      <c r="I35" s="6">
        <v>44439</v>
      </c>
      <c r="J35" s="4">
        <v>2822.24</v>
      </c>
      <c r="K35">
        <f t="shared" si="1"/>
        <v>4</v>
      </c>
      <c r="L35">
        <f t="shared" si="0"/>
        <v>60</v>
      </c>
      <c r="M35" t="str">
        <f t="shared" si="2"/>
        <v>Older Adults</v>
      </c>
    </row>
    <row r="36" spans="1:13" x14ac:dyDescent="0.25">
      <c r="A36" t="s">
        <v>147</v>
      </c>
      <c r="B36" t="s">
        <v>148</v>
      </c>
      <c r="C36" s="6">
        <v>15982</v>
      </c>
      <c r="D36" t="s">
        <v>27</v>
      </c>
      <c r="E36" t="s">
        <v>60</v>
      </c>
      <c r="F36" t="s">
        <v>88</v>
      </c>
      <c r="G36" t="s">
        <v>149</v>
      </c>
      <c r="H36" s="6">
        <v>44435</v>
      </c>
      <c r="I36" s="6">
        <v>44455</v>
      </c>
      <c r="J36" s="4">
        <v>37508</v>
      </c>
      <c r="K36">
        <f t="shared" si="1"/>
        <v>20</v>
      </c>
      <c r="L36">
        <f t="shared" si="0"/>
        <v>77</v>
      </c>
      <c r="M36" t="str">
        <f t="shared" si="2"/>
        <v>Older Adults</v>
      </c>
    </row>
    <row r="37" spans="1:13" x14ac:dyDescent="0.25">
      <c r="A37" t="s">
        <v>150</v>
      </c>
      <c r="B37" t="s">
        <v>151</v>
      </c>
      <c r="C37" s="6">
        <v>30988</v>
      </c>
      <c r="D37" t="s">
        <v>11</v>
      </c>
      <c r="E37" t="s">
        <v>152</v>
      </c>
      <c r="F37" t="s">
        <v>56</v>
      </c>
      <c r="G37" t="s">
        <v>153</v>
      </c>
      <c r="H37" s="6">
        <v>44435</v>
      </c>
      <c r="I37" s="6">
        <v>44452</v>
      </c>
      <c r="J37" s="4">
        <v>18941.349999999999</v>
      </c>
      <c r="K37">
        <f t="shared" si="1"/>
        <v>17</v>
      </c>
      <c r="L37">
        <f t="shared" si="0"/>
        <v>36</v>
      </c>
      <c r="M37" t="str">
        <f t="shared" si="2"/>
        <v>Adults</v>
      </c>
    </row>
    <row r="38" spans="1:13" x14ac:dyDescent="0.25">
      <c r="A38" t="s">
        <v>154</v>
      </c>
      <c r="B38" t="s">
        <v>155</v>
      </c>
      <c r="C38" s="6">
        <v>29232</v>
      </c>
      <c r="D38" t="s">
        <v>11</v>
      </c>
      <c r="E38" t="s">
        <v>127</v>
      </c>
      <c r="F38" t="s">
        <v>156</v>
      </c>
      <c r="G38" t="s">
        <v>157</v>
      </c>
      <c r="H38" s="6">
        <v>44437</v>
      </c>
      <c r="I38" s="6">
        <v>44438</v>
      </c>
      <c r="J38" s="4">
        <v>2524.9499999999998</v>
      </c>
      <c r="K38">
        <f t="shared" si="1"/>
        <v>1</v>
      </c>
      <c r="L38">
        <f t="shared" si="0"/>
        <v>41</v>
      </c>
      <c r="M38" t="str">
        <f t="shared" si="2"/>
        <v>Adults</v>
      </c>
    </row>
    <row r="39" spans="1:13" x14ac:dyDescent="0.25">
      <c r="A39" t="s">
        <v>158</v>
      </c>
      <c r="B39" t="s">
        <v>159</v>
      </c>
      <c r="C39" s="6">
        <v>17727</v>
      </c>
      <c r="D39" t="s">
        <v>27</v>
      </c>
      <c r="E39" t="s">
        <v>102</v>
      </c>
      <c r="F39" t="s">
        <v>103</v>
      </c>
      <c r="G39" t="s">
        <v>160</v>
      </c>
      <c r="H39" s="6">
        <v>44437</v>
      </c>
      <c r="I39" s="6">
        <v>44450</v>
      </c>
      <c r="J39" s="4">
        <v>40700.44</v>
      </c>
      <c r="K39">
        <f t="shared" si="1"/>
        <v>13</v>
      </c>
      <c r="L39">
        <f t="shared" si="0"/>
        <v>73</v>
      </c>
      <c r="M39" t="str">
        <f t="shared" si="2"/>
        <v>Older Adults</v>
      </c>
    </row>
    <row r="40" spans="1:13" x14ac:dyDescent="0.25">
      <c r="A40" t="s">
        <v>161</v>
      </c>
      <c r="B40" t="s">
        <v>162</v>
      </c>
      <c r="C40" s="6">
        <v>16030</v>
      </c>
      <c r="D40" t="s">
        <v>27</v>
      </c>
      <c r="E40" t="s">
        <v>163</v>
      </c>
      <c r="F40" t="s">
        <v>164</v>
      </c>
      <c r="G40" t="s">
        <v>165</v>
      </c>
      <c r="H40" s="6">
        <v>44438</v>
      </c>
      <c r="I40" s="6">
        <v>44448</v>
      </c>
      <c r="J40" s="4">
        <v>47724.71</v>
      </c>
      <c r="K40">
        <f t="shared" si="1"/>
        <v>10</v>
      </c>
      <c r="L40">
        <f t="shared" si="0"/>
        <v>77</v>
      </c>
      <c r="M40" t="str">
        <f t="shared" si="2"/>
        <v>Older Adults</v>
      </c>
    </row>
    <row r="41" spans="1:13" x14ac:dyDescent="0.25">
      <c r="A41" t="s">
        <v>166</v>
      </c>
      <c r="B41" t="s">
        <v>167</v>
      </c>
      <c r="C41" s="6">
        <v>14664</v>
      </c>
      <c r="D41" t="s">
        <v>27</v>
      </c>
      <c r="E41" t="s">
        <v>38</v>
      </c>
      <c r="F41" t="s">
        <v>13</v>
      </c>
      <c r="G41" t="s">
        <v>40</v>
      </c>
      <c r="H41" s="6">
        <v>44438</v>
      </c>
      <c r="I41" s="6">
        <v>44439</v>
      </c>
      <c r="J41" s="4">
        <v>1924.29</v>
      </c>
      <c r="K41">
        <f t="shared" si="1"/>
        <v>1</v>
      </c>
      <c r="L41">
        <f t="shared" si="0"/>
        <v>81</v>
      </c>
      <c r="M41" t="str">
        <f t="shared" si="2"/>
        <v>Older Adults</v>
      </c>
    </row>
    <row r="42" spans="1:13" x14ac:dyDescent="0.25">
      <c r="A42" t="s">
        <v>168</v>
      </c>
      <c r="B42" t="s">
        <v>169</v>
      </c>
      <c r="C42" s="6">
        <v>13807</v>
      </c>
      <c r="D42" t="s">
        <v>27</v>
      </c>
      <c r="E42" t="s">
        <v>28</v>
      </c>
      <c r="F42" t="s">
        <v>29</v>
      </c>
      <c r="G42" t="s">
        <v>124</v>
      </c>
      <c r="H42" s="6">
        <v>44440</v>
      </c>
      <c r="I42" s="6">
        <v>44448</v>
      </c>
      <c r="J42" s="4">
        <v>29750.22</v>
      </c>
      <c r="K42">
        <f t="shared" si="1"/>
        <v>8</v>
      </c>
      <c r="L42">
        <f t="shared" si="0"/>
        <v>83</v>
      </c>
      <c r="M42" t="str">
        <f t="shared" si="2"/>
        <v>Older Adults</v>
      </c>
    </row>
    <row r="43" spans="1:13" x14ac:dyDescent="0.25">
      <c r="A43" t="s">
        <v>170</v>
      </c>
      <c r="B43" t="s">
        <v>171</v>
      </c>
      <c r="C43" s="6">
        <v>38531</v>
      </c>
      <c r="D43" t="s">
        <v>27</v>
      </c>
      <c r="E43" t="s">
        <v>12</v>
      </c>
      <c r="F43" t="s">
        <v>172</v>
      </c>
      <c r="G43" t="s">
        <v>173</v>
      </c>
      <c r="H43" s="6">
        <v>44440</v>
      </c>
      <c r="I43" s="6">
        <v>44470</v>
      </c>
      <c r="J43" s="4">
        <v>7748.74</v>
      </c>
      <c r="K43">
        <f t="shared" si="1"/>
        <v>30</v>
      </c>
      <c r="L43">
        <f t="shared" si="0"/>
        <v>16</v>
      </c>
      <c r="M43" t="str">
        <f t="shared" si="2"/>
        <v>Children and Adolescent</v>
      </c>
    </row>
    <row r="44" spans="1:13" x14ac:dyDescent="0.25">
      <c r="A44" t="s">
        <v>174</v>
      </c>
      <c r="B44" t="s">
        <v>175</v>
      </c>
      <c r="C44" s="6">
        <v>44436</v>
      </c>
      <c r="D44" t="s">
        <v>27</v>
      </c>
      <c r="E44" t="s">
        <v>38</v>
      </c>
      <c r="F44" t="s">
        <v>39</v>
      </c>
      <c r="G44" t="s">
        <v>40</v>
      </c>
      <c r="H44" s="6">
        <v>44441</v>
      </c>
      <c r="I44" s="6">
        <v>44443</v>
      </c>
      <c r="J44" s="4">
        <v>1601.55</v>
      </c>
      <c r="K44">
        <f t="shared" si="1"/>
        <v>2</v>
      </c>
      <c r="L44">
        <f t="shared" si="0"/>
        <v>0</v>
      </c>
      <c r="M44" t="str">
        <f t="shared" si="2"/>
        <v>Early childhood</v>
      </c>
    </row>
    <row r="45" spans="1:13" x14ac:dyDescent="0.25">
      <c r="A45" t="s">
        <v>176</v>
      </c>
      <c r="B45" t="s">
        <v>177</v>
      </c>
      <c r="C45" s="6">
        <v>34537</v>
      </c>
      <c r="D45" t="s">
        <v>27</v>
      </c>
      <c r="E45" t="s">
        <v>178</v>
      </c>
      <c r="F45" t="s">
        <v>179</v>
      </c>
      <c r="G45" t="s">
        <v>157</v>
      </c>
      <c r="H45" s="6">
        <v>44441</v>
      </c>
      <c r="I45" s="6">
        <v>44445</v>
      </c>
      <c r="J45" s="4">
        <v>2345.96</v>
      </c>
      <c r="K45">
        <f t="shared" si="1"/>
        <v>4</v>
      </c>
      <c r="L45">
        <f t="shared" si="0"/>
        <v>27</v>
      </c>
      <c r="M45" t="str">
        <f t="shared" si="2"/>
        <v>Adults</v>
      </c>
    </row>
    <row r="46" spans="1:13" x14ac:dyDescent="0.25">
      <c r="A46" t="s">
        <v>180</v>
      </c>
      <c r="B46" t="s">
        <v>181</v>
      </c>
      <c r="C46" s="6">
        <v>22429</v>
      </c>
      <c r="D46" t="s">
        <v>27</v>
      </c>
      <c r="E46" t="s">
        <v>178</v>
      </c>
      <c r="F46" t="s">
        <v>182</v>
      </c>
      <c r="G46" t="s">
        <v>157</v>
      </c>
      <c r="H46" s="6">
        <v>44441</v>
      </c>
      <c r="I46" s="6">
        <v>44457</v>
      </c>
      <c r="J46" s="4">
        <v>2284.65</v>
      </c>
      <c r="K46">
        <f t="shared" si="1"/>
        <v>16</v>
      </c>
      <c r="L46">
        <f t="shared" si="0"/>
        <v>60</v>
      </c>
      <c r="M46" t="str">
        <f t="shared" si="2"/>
        <v>Older Adults</v>
      </c>
    </row>
    <row r="47" spans="1:13" x14ac:dyDescent="0.25">
      <c r="A47" t="s">
        <v>183</v>
      </c>
      <c r="B47" t="s">
        <v>184</v>
      </c>
      <c r="C47" s="6">
        <v>13930</v>
      </c>
      <c r="D47" t="s">
        <v>27</v>
      </c>
      <c r="E47" t="s">
        <v>92</v>
      </c>
      <c r="F47" t="s">
        <v>13</v>
      </c>
      <c r="G47" t="s">
        <v>94</v>
      </c>
      <c r="H47" s="6">
        <v>44445</v>
      </c>
      <c r="I47" s="6">
        <v>44454</v>
      </c>
      <c r="J47" s="4">
        <v>2502.58</v>
      </c>
      <c r="K47">
        <f t="shared" si="1"/>
        <v>9</v>
      </c>
      <c r="L47">
        <f t="shared" si="0"/>
        <v>83</v>
      </c>
      <c r="M47" t="str">
        <f t="shared" si="2"/>
        <v>Older Adults</v>
      </c>
    </row>
    <row r="48" spans="1:13" x14ac:dyDescent="0.25">
      <c r="A48" t="s">
        <v>185</v>
      </c>
      <c r="B48" t="s">
        <v>186</v>
      </c>
      <c r="C48" s="6">
        <v>20862</v>
      </c>
      <c r="D48" t="s">
        <v>11</v>
      </c>
      <c r="E48" t="s">
        <v>187</v>
      </c>
      <c r="F48" t="s">
        <v>188</v>
      </c>
      <c r="G48" t="s">
        <v>189</v>
      </c>
      <c r="H48" s="6">
        <v>44445</v>
      </c>
      <c r="I48" s="6">
        <v>44465</v>
      </c>
      <c r="J48" s="4">
        <v>4424.62</v>
      </c>
      <c r="K48">
        <f t="shared" si="1"/>
        <v>20</v>
      </c>
      <c r="L48">
        <f t="shared" si="0"/>
        <v>64</v>
      </c>
      <c r="M48" t="str">
        <f t="shared" si="2"/>
        <v>Older Adults</v>
      </c>
    </row>
    <row r="49" spans="1:13" x14ac:dyDescent="0.25">
      <c r="A49" t="s">
        <v>190</v>
      </c>
      <c r="B49" t="s">
        <v>191</v>
      </c>
      <c r="C49" s="6">
        <v>18125</v>
      </c>
      <c r="D49" t="s">
        <v>11</v>
      </c>
      <c r="E49" t="s">
        <v>187</v>
      </c>
      <c r="F49" t="s">
        <v>13</v>
      </c>
      <c r="G49" t="s">
        <v>192</v>
      </c>
      <c r="H49" s="6">
        <v>44447</v>
      </c>
      <c r="I49" s="6">
        <v>44450</v>
      </c>
      <c r="J49" s="4">
        <v>9175.58</v>
      </c>
      <c r="K49">
        <f t="shared" si="1"/>
        <v>3</v>
      </c>
      <c r="L49">
        <f t="shared" si="0"/>
        <v>72</v>
      </c>
      <c r="M49" t="str">
        <f t="shared" si="2"/>
        <v>Older Adults</v>
      </c>
    </row>
    <row r="50" spans="1:13" x14ac:dyDescent="0.25">
      <c r="A50" t="s">
        <v>193</v>
      </c>
      <c r="B50" t="s">
        <v>194</v>
      </c>
      <c r="C50" s="6">
        <v>45332</v>
      </c>
      <c r="D50" t="s">
        <v>11</v>
      </c>
      <c r="E50" t="s">
        <v>152</v>
      </c>
      <c r="F50" t="s">
        <v>56</v>
      </c>
      <c r="G50" t="s">
        <v>195</v>
      </c>
      <c r="H50" s="6">
        <v>44447</v>
      </c>
      <c r="I50" s="6">
        <v>44467</v>
      </c>
      <c r="J50" s="4">
        <v>6290.08</v>
      </c>
      <c r="K50">
        <f t="shared" si="1"/>
        <v>20</v>
      </c>
      <c r="L50" t="str">
        <f t="shared" si="0"/>
        <v>Invalid DOB</v>
      </c>
      <c r="M50" t="str">
        <f t="shared" si="2"/>
        <v>Invalid DOB</v>
      </c>
    </row>
    <row r="51" spans="1:13" x14ac:dyDescent="0.25">
      <c r="A51" t="s">
        <v>196</v>
      </c>
      <c r="B51" t="s">
        <v>197</v>
      </c>
      <c r="C51" s="6">
        <v>28705</v>
      </c>
      <c r="D51" t="s">
        <v>27</v>
      </c>
      <c r="E51" t="s">
        <v>163</v>
      </c>
      <c r="F51" t="s">
        <v>164</v>
      </c>
      <c r="G51" t="s">
        <v>165</v>
      </c>
      <c r="H51" s="6">
        <v>44450</v>
      </c>
      <c r="I51" s="6">
        <v>44459</v>
      </c>
      <c r="J51" s="4">
        <v>23513.88</v>
      </c>
      <c r="K51">
        <f t="shared" si="1"/>
        <v>9</v>
      </c>
      <c r="L51">
        <f t="shared" si="0"/>
        <v>43</v>
      </c>
      <c r="M51" t="str">
        <f t="shared" si="2"/>
        <v>Adults</v>
      </c>
    </row>
    <row r="52" spans="1:13" x14ac:dyDescent="0.25">
      <c r="A52" t="s">
        <v>198</v>
      </c>
      <c r="B52" t="s">
        <v>199</v>
      </c>
      <c r="C52" s="6">
        <v>14724</v>
      </c>
      <c r="D52" t="s">
        <v>27</v>
      </c>
      <c r="E52" t="s">
        <v>142</v>
      </c>
      <c r="F52" t="s">
        <v>200</v>
      </c>
      <c r="G52" t="s">
        <v>143</v>
      </c>
      <c r="H52" s="6">
        <v>44451</v>
      </c>
      <c r="I52" s="6">
        <v>44468</v>
      </c>
      <c r="J52" s="4">
        <v>2440.9499999999998</v>
      </c>
      <c r="K52">
        <f t="shared" si="1"/>
        <v>17</v>
      </c>
      <c r="L52">
        <f t="shared" si="0"/>
        <v>81</v>
      </c>
      <c r="M52" t="str">
        <f t="shared" si="2"/>
        <v>Older Adults</v>
      </c>
    </row>
    <row r="53" spans="1:13" x14ac:dyDescent="0.25">
      <c r="A53" t="s">
        <v>201</v>
      </c>
      <c r="B53" t="s">
        <v>202</v>
      </c>
      <c r="C53" s="6">
        <v>12939</v>
      </c>
      <c r="D53" t="s">
        <v>27</v>
      </c>
      <c r="E53" t="s">
        <v>60</v>
      </c>
      <c r="F53" t="s">
        <v>88</v>
      </c>
      <c r="G53" t="s">
        <v>62</v>
      </c>
      <c r="H53" s="6">
        <v>44453</v>
      </c>
      <c r="I53" s="6">
        <v>44457</v>
      </c>
      <c r="J53" s="4">
        <v>77649.09</v>
      </c>
      <c r="K53">
        <f t="shared" si="1"/>
        <v>4</v>
      </c>
      <c r="L53">
        <f t="shared" si="0"/>
        <v>86</v>
      </c>
      <c r="M53" t="str">
        <f t="shared" si="2"/>
        <v>Older Adults</v>
      </c>
    </row>
    <row r="54" spans="1:13" x14ac:dyDescent="0.25">
      <c r="A54" t="s">
        <v>203</v>
      </c>
      <c r="B54" t="s">
        <v>204</v>
      </c>
      <c r="C54" s="6">
        <v>38633</v>
      </c>
      <c r="D54" t="s">
        <v>27</v>
      </c>
      <c r="E54" t="s">
        <v>38</v>
      </c>
      <c r="F54" t="s">
        <v>39</v>
      </c>
      <c r="G54" t="s">
        <v>117</v>
      </c>
      <c r="H54" s="6">
        <v>44453</v>
      </c>
      <c r="I54" s="6">
        <v>44471</v>
      </c>
      <c r="J54" s="4">
        <v>1362.26</v>
      </c>
      <c r="K54">
        <f t="shared" si="1"/>
        <v>18</v>
      </c>
      <c r="L54">
        <f t="shared" si="0"/>
        <v>15</v>
      </c>
      <c r="M54" t="str">
        <f t="shared" si="2"/>
        <v>Children and Adolescent</v>
      </c>
    </row>
    <row r="55" spans="1:13" x14ac:dyDescent="0.25">
      <c r="A55" t="s">
        <v>205</v>
      </c>
      <c r="B55" t="s">
        <v>206</v>
      </c>
      <c r="C55" s="6">
        <v>45096</v>
      </c>
      <c r="D55" t="s">
        <v>11</v>
      </c>
      <c r="E55" t="s">
        <v>28</v>
      </c>
      <c r="F55" t="s">
        <v>43</v>
      </c>
      <c r="G55" t="s">
        <v>124</v>
      </c>
      <c r="H55" s="6">
        <v>44453</v>
      </c>
      <c r="I55" s="6">
        <v>44472</v>
      </c>
      <c r="J55" s="4">
        <v>28489.14</v>
      </c>
      <c r="K55">
        <f t="shared" si="1"/>
        <v>19</v>
      </c>
      <c r="L55" t="str">
        <f t="shared" si="0"/>
        <v>Invalid DOB</v>
      </c>
      <c r="M55" t="str">
        <f t="shared" si="2"/>
        <v>Invalid DOB</v>
      </c>
    </row>
    <row r="56" spans="1:13" x14ac:dyDescent="0.25">
      <c r="A56" t="s">
        <v>207</v>
      </c>
      <c r="B56" t="s">
        <v>208</v>
      </c>
      <c r="C56" s="6">
        <v>18295</v>
      </c>
      <c r="D56" t="s">
        <v>11</v>
      </c>
      <c r="E56" t="s">
        <v>138</v>
      </c>
      <c r="F56" t="s">
        <v>209</v>
      </c>
      <c r="G56" t="s">
        <v>143</v>
      </c>
      <c r="H56" s="6">
        <v>44454</v>
      </c>
      <c r="I56" s="6">
        <v>44456</v>
      </c>
      <c r="J56" s="4">
        <v>1178.8699999999999</v>
      </c>
      <c r="K56">
        <f t="shared" si="1"/>
        <v>2</v>
      </c>
      <c r="L56">
        <f t="shared" si="0"/>
        <v>71</v>
      </c>
      <c r="M56" t="str">
        <f t="shared" si="2"/>
        <v>Older Adults</v>
      </c>
    </row>
    <row r="57" spans="1:13" x14ac:dyDescent="0.25">
      <c r="A57" t="s">
        <v>210</v>
      </c>
      <c r="B57" t="s">
        <v>211</v>
      </c>
      <c r="C57" s="6">
        <v>40174</v>
      </c>
      <c r="D57" t="s">
        <v>27</v>
      </c>
      <c r="E57" t="s">
        <v>127</v>
      </c>
      <c r="F57" t="s">
        <v>156</v>
      </c>
      <c r="G57" t="s">
        <v>157</v>
      </c>
      <c r="H57" s="6">
        <v>44454</v>
      </c>
      <c r="I57" s="6">
        <v>44475</v>
      </c>
      <c r="J57" s="4">
        <v>1034.05</v>
      </c>
      <c r="K57">
        <f t="shared" si="1"/>
        <v>21</v>
      </c>
      <c r="L57">
        <f t="shared" si="0"/>
        <v>11</v>
      </c>
      <c r="M57" t="str">
        <f t="shared" si="2"/>
        <v>Children and Adolescent</v>
      </c>
    </row>
    <row r="58" spans="1:13" x14ac:dyDescent="0.25">
      <c r="A58" t="s">
        <v>212</v>
      </c>
      <c r="B58" t="s">
        <v>213</v>
      </c>
      <c r="C58" s="6">
        <v>36508</v>
      </c>
      <c r="D58" t="s">
        <v>27</v>
      </c>
      <c r="E58" t="s">
        <v>152</v>
      </c>
      <c r="F58" t="s">
        <v>56</v>
      </c>
      <c r="G58" t="s">
        <v>214</v>
      </c>
      <c r="H58" s="6">
        <v>44455</v>
      </c>
      <c r="I58" s="6">
        <v>44469</v>
      </c>
      <c r="J58" s="4">
        <v>11888.72</v>
      </c>
      <c r="K58">
        <f t="shared" si="1"/>
        <v>14</v>
      </c>
      <c r="L58">
        <f t="shared" si="0"/>
        <v>21</v>
      </c>
      <c r="M58" t="str">
        <f t="shared" si="2"/>
        <v>Young Adults</v>
      </c>
    </row>
    <row r="59" spans="1:13" x14ac:dyDescent="0.25">
      <c r="A59" t="s">
        <v>215</v>
      </c>
      <c r="B59" t="s">
        <v>216</v>
      </c>
      <c r="C59" s="6">
        <v>21041</v>
      </c>
      <c r="D59" t="s">
        <v>27</v>
      </c>
      <c r="E59" t="s">
        <v>55</v>
      </c>
      <c r="F59" t="s">
        <v>217</v>
      </c>
      <c r="G59" t="s">
        <v>218</v>
      </c>
      <c r="H59" s="6">
        <v>44458</v>
      </c>
      <c r="I59" s="6">
        <v>44485</v>
      </c>
      <c r="J59" s="4">
        <v>2471.69</v>
      </c>
      <c r="K59">
        <f t="shared" si="1"/>
        <v>27</v>
      </c>
      <c r="L59">
        <f t="shared" si="0"/>
        <v>64</v>
      </c>
      <c r="M59" t="str">
        <f t="shared" si="2"/>
        <v>Older Adults</v>
      </c>
    </row>
    <row r="60" spans="1:13" x14ac:dyDescent="0.25">
      <c r="A60" t="s">
        <v>219</v>
      </c>
      <c r="B60" t="s">
        <v>220</v>
      </c>
      <c r="C60" s="6">
        <v>18740</v>
      </c>
      <c r="D60" t="s">
        <v>27</v>
      </c>
      <c r="E60" t="s">
        <v>97</v>
      </c>
      <c r="F60" t="s">
        <v>98</v>
      </c>
      <c r="G60" t="s">
        <v>221</v>
      </c>
      <c r="H60" s="6">
        <v>44458</v>
      </c>
      <c r="I60" s="6">
        <v>44469</v>
      </c>
      <c r="J60" s="4">
        <v>402.9</v>
      </c>
      <c r="K60">
        <f t="shared" si="1"/>
        <v>11</v>
      </c>
      <c r="L60">
        <f t="shared" si="0"/>
        <v>70</v>
      </c>
      <c r="M60" t="str">
        <f t="shared" si="2"/>
        <v>Older Adults</v>
      </c>
    </row>
    <row r="61" spans="1:13" x14ac:dyDescent="0.25">
      <c r="A61" t="s">
        <v>222</v>
      </c>
      <c r="B61" t="s">
        <v>223</v>
      </c>
      <c r="C61" s="6">
        <v>17031</v>
      </c>
      <c r="D61" t="s">
        <v>27</v>
      </c>
      <c r="E61" t="s">
        <v>152</v>
      </c>
      <c r="F61" t="s">
        <v>56</v>
      </c>
      <c r="G61" t="s">
        <v>195</v>
      </c>
      <c r="H61" s="6">
        <v>44458</v>
      </c>
      <c r="I61" s="6">
        <v>44471</v>
      </c>
      <c r="J61" s="4">
        <v>11078.84</v>
      </c>
      <c r="K61">
        <f t="shared" si="1"/>
        <v>13</v>
      </c>
      <c r="L61">
        <f t="shared" si="0"/>
        <v>75</v>
      </c>
      <c r="M61" t="str">
        <f t="shared" si="2"/>
        <v>Older Adults</v>
      </c>
    </row>
    <row r="62" spans="1:13" x14ac:dyDescent="0.25">
      <c r="A62" s="1" t="s">
        <v>224</v>
      </c>
      <c r="B62" t="s">
        <v>225</v>
      </c>
      <c r="C62" s="6">
        <v>33648</v>
      </c>
      <c r="D62" t="s">
        <v>11</v>
      </c>
      <c r="E62" t="s">
        <v>17</v>
      </c>
      <c r="F62" t="s">
        <v>18</v>
      </c>
      <c r="G62" t="s">
        <v>135</v>
      </c>
      <c r="H62" s="6">
        <v>44459</v>
      </c>
      <c r="I62" s="6">
        <v>44470</v>
      </c>
      <c r="J62" s="4">
        <v>649.54</v>
      </c>
      <c r="K62">
        <f t="shared" si="1"/>
        <v>11</v>
      </c>
      <c r="L62">
        <f t="shared" si="0"/>
        <v>29</v>
      </c>
      <c r="M62" t="str">
        <f t="shared" si="2"/>
        <v>Adults</v>
      </c>
    </row>
    <row r="63" spans="1:13" x14ac:dyDescent="0.25">
      <c r="A63" t="s">
        <v>226</v>
      </c>
      <c r="B63" t="s">
        <v>227</v>
      </c>
      <c r="C63" s="6">
        <v>39982</v>
      </c>
      <c r="D63" t="s">
        <v>11</v>
      </c>
      <c r="E63" t="s">
        <v>55</v>
      </c>
      <c r="F63" t="s">
        <v>56</v>
      </c>
      <c r="G63" t="s">
        <v>228</v>
      </c>
      <c r="H63" s="6">
        <v>44459</v>
      </c>
      <c r="I63" s="6">
        <v>44469</v>
      </c>
      <c r="J63" s="4">
        <v>4039.92</v>
      </c>
      <c r="K63">
        <f t="shared" si="1"/>
        <v>10</v>
      </c>
      <c r="L63">
        <f t="shared" si="0"/>
        <v>12</v>
      </c>
      <c r="M63" t="str">
        <f t="shared" si="2"/>
        <v>Children and Adolescent</v>
      </c>
    </row>
    <row r="64" spans="1:13" x14ac:dyDescent="0.25">
      <c r="A64" t="s">
        <v>229</v>
      </c>
      <c r="B64" t="s">
        <v>230</v>
      </c>
      <c r="C64" s="6">
        <v>21517</v>
      </c>
      <c r="D64" t="s">
        <v>27</v>
      </c>
      <c r="E64" t="s">
        <v>92</v>
      </c>
      <c r="F64" t="s">
        <v>13</v>
      </c>
      <c r="G64" t="s">
        <v>94</v>
      </c>
      <c r="H64" s="6">
        <v>44460</v>
      </c>
      <c r="I64" s="6">
        <v>44465</v>
      </c>
      <c r="J64" s="4">
        <v>2723.7</v>
      </c>
      <c r="K64">
        <f t="shared" si="1"/>
        <v>5</v>
      </c>
      <c r="L64">
        <f t="shared" si="0"/>
        <v>62</v>
      </c>
      <c r="M64" t="str">
        <f t="shared" si="2"/>
        <v>Older Adults</v>
      </c>
    </row>
    <row r="65" spans="1:13" x14ac:dyDescent="0.25">
      <c r="A65" t="s">
        <v>231</v>
      </c>
      <c r="B65" t="s">
        <v>232</v>
      </c>
      <c r="C65" s="6">
        <v>43980</v>
      </c>
      <c r="D65" t="s">
        <v>11</v>
      </c>
      <c r="E65" t="s">
        <v>163</v>
      </c>
      <c r="F65" t="s">
        <v>13</v>
      </c>
      <c r="G65" t="s">
        <v>233</v>
      </c>
      <c r="H65" s="6">
        <v>44461</v>
      </c>
      <c r="I65" s="6">
        <v>44478</v>
      </c>
      <c r="J65" s="4">
        <v>48452.66</v>
      </c>
      <c r="K65">
        <f t="shared" si="1"/>
        <v>17</v>
      </c>
      <c r="L65">
        <f t="shared" si="0"/>
        <v>1</v>
      </c>
      <c r="M65" t="str">
        <f t="shared" si="2"/>
        <v>Early childhood</v>
      </c>
    </row>
    <row r="66" spans="1:13" x14ac:dyDescent="0.25">
      <c r="A66" t="s">
        <v>234</v>
      </c>
      <c r="B66" t="s">
        <v>235</v>
      </c>
      <c r="C66" s="6">
        <v>37058</v>
      </c>
      <c r="D66" t="s">
        <v>11</v>
      </c>
      <c r="E66" t="s">
        <v>187</v>
      </c>
      <c r="F66" t="s">
        <v>13</v>
      </c>
      <c r="G66" t="s">
        <v>192</v>
      </c>
      <c r="H66" s="6">
        <v>44462</v>
      </c>
      <c r="I66" s="6">
        <v>44475</v>
      </c>
      <c r="J66" s="4">
        <v>3010.52</v>
      </c>
      <c r="K66">
        <f t="shared" si="1"/>
        <v>13</v>
      </c>
      <c r="L66">
        <f t="shared" ref="L66:L129" si="3">IF(C66&gt;H66,"Invalid DOB",DATEDIF(C66,H66,"Y"))</f>
        <v>20</v>
      </c>
      <c r="M66" t="str">
        <f t="shared" si="2"/>
        <v>Young Adults</v>
      </c>
    </row>
    <row r="67" spans="1:13" x14ac:dyDescent="0.25">
      <c r="A67" t="s">
        <v>236</v>
      </c>
      <c r="B67" t="s">
        <v>237</v>
      </c>
      <c r="C67" s="6">
        <v>24134</v>
      </c>
      <c r="D67" t="s">
        <v>27</v>
      </c>
      <c r="E67" t="s">
        <v>84</v>
      </c>
      <c r="F67" t="s">
        <v>85</v>
      </c>
      <c r="G67" t="s">
        <v>238</v>
      </c>
      <c r="H67" s="6">
        <v>44462</v>
      </c>
      <c r="I67" s="6">
        <v>44467</v>
      </c>
      <c r="J67" s="4">
        <v>2802.46</v>
      </c>
      <c r="K67">
        <f t="shared" ref="K67:K130" si="4">I67-H67</f>
        <v>5</v>
      </c>
      <c r="L67">
        <f t="shared" si="3"/>
        <v>55</v>
      </c>
      <c r="M67" t="str">
        <f t="shared" ref="M67:M130" si="5">IF(L67="Invalid DOB","Invalid DOB",IF(L67&lt;=4,"Early childhood",IF(L67&lt;=17,"Children and Adolescent",IF(L67&lt;=24,"Young Adults",IF(L67&lt;=59,"Adults","Older Adults")))))</f>
        <v>Adults</v>
      </c>
    </row>
    <row r="68" spans="1:13" x14ac:dyDescent="0.25">
      <c r="A68" t="s">
        <v>239</v>
      </c>
      <c r="B68" t="s">
        <v>240</v>
      </c>
      <c r="C68" s="6">
        <v>13469</v>
      </c>
      <c r="D68" t="s">
        <v>27</v>
      </c>
      <c r="E68" t="s">
        <v>12</v>
      </c>
      <c r="F68" t="s">
        <v>13</v>
      </c>
      <c r="G68" t="s">
        <v>14</v>
      </c>
      <c r="H68" s="6">
        <v>44463</v>
      </c>
      <c r="I68" s="6">
        <v>44477</v>
      </c>
      <c r="J68" s="4">
        <v>12696.72</v>
      </c>
      <c r="K68">
        <f t="shared" si="4"/>
        <v>14</v>
      </c>
      <c r="L68">
        <f t="shared" si="3"/>
        <v>84</v>
      </c>
      <c r="M68" t="str">
        <f t="shared" si="5"/>
        <v>Older Adults</v>
      </c>
    </row>
    <row r="69" spans="1:13" x14ac:dyDescent="0.25">
      <c r="A69" t="s">
        <v>241</v>
      </c>
      <c r="B69" t="s">
        <v>242</v>
      </c>
      <c r="C69" s="6">
        <v>30280</v>
      </c>
      <c r="D69" t="s">
        <v>27</v>
      </c>
      <c r="E69" t="s">
        <v>47</v>
      </c>
      <c r="F69" t="s">
        <v>29</v>
      </c>
      <c r="G69" t="s">
        <v>243</v>
      </c>
      <c r="H69" s="6">
        <v>44463</v>
      </c>
      <c r="I69" s="6">
        <v>44493</v>
      </c>
      <c r="J69" s="4">
        <v>6671.07</v>
      </c>
      <c r="K69">
        <f t="shared" si="4"/>
        <v>30</v>
      </c>
      <c r="L69">
        <f t="shared" si="3"/>
        <v>38</v>
      </c>
      <c r="M69" t="str">
        <f t="shared" si="5"/>
        <v>Adults</v>
      </c>
    </row>
    <row r="70" spans="1:13" x14ac:dyDescent="0.25">
      <c r="A70" t="s">
        <v>244</v>
      </c>
      <c r="B70" t="s">
        <v>245</v>
      </c>
      <c r="C70" s="6">
        <v>42555</v>
      </c>
      <c r="D70" t="s">
        <v>27</v>
      </c>
      <c r="E70" t="s">
        <v>97</v>
      </c>
      <c r="F70" t="s">
        <v>98</v>
      </c>
      <c r="G70" t="s">
        <v>99</v>
      </c>
      <c r="H70" s="6">
        <v>44463</v>
      </c>
      <c r="I70" s="6">
        <v>44478</v>
      </c>
      <c r="J70" s="4">
        <v>658.07</v>
      </c>
      <c r="K70">
        <f t="shared" si="4"/>
        <v>15</v>
      </c>
      <c r="L70">
        <f t="shared" si="3"/>
        <v>5</v>
      </c>
      <c r="M70" t="str">
        <f t="shared" si="5"/>
        <v>Children and Adolescent</v>
      </c>
    </row>
    <row r="71" spans="1:13" x14ac:dyDescent="0.25">
      <c r="A71" t="s">
        <v>246</v>
      </c>
      <c r="B71" t="s">
        <v>247</v>
      </c>
      <c r="C71" s="6">
        <v>36018</v>
      </c>
      <c r="D71" t="s">
        <v>11</v>
      </c>
      <c r="E71" t="s">
        <v>22</v>
      </c>
      <c r="F71" t="s">
        <v>110</v>
      </c>
      <c r="G71" t="s">
        <v>24</v>
      </c>
      <c r="H71" s="6">
        <v>44464</v>
      </c>
      <c r="I71" s="6">
        <v>44493</v>
      </c>
      <c r="J71" s="4">
        <v>1989.13</v>
      </c>
      <c r="K71">
        <f t="shared" si="4"/>
        <v>29</v>
      </c>
      <c r="L71">
        <f t="shared" si="3"/>
        <v>23</v>
      </c>
      <c r="M71" t="str">
        <f t="shared" si="5"/>
        <v>Young Adults</v>
      </c>
    </row>
    <row r="72" spans="1:13" x14ac:dyDescent="0.25">
      <c r="A72" t="s">
        <v>248</v>
      </c>
      <c r="B72" t="s">
        <v>249</v>
      </c>
      <c r="C72" s="6">
        <v>22816</v>
      </c>
      <c r="D72" t="s">
        <v>27</v>
      </c>
      <c r="E72" t="s">
        <v>152</v>
      </c>
      <c r="F72" t="s">
        <v>56</v>
      </c>
      <c r="G72" t="s">
        <v>153</v>
      </c>
      <c r="H72" s="6">
        <v>44464</v>
      </c>
      <c r="I72" s="6">
        <v>44486</v>
      </c>
      <c r="J72" s="4">
        <v>5897.98</v>
      </c>
      <c r="K72">
        <f t="shared" si="4"/>
        <v>22</v>
      </c>
      <c r="L72">
        <f t="shared" si="3"/>
        <v>59</v>
      </c>
      <c r="M72" t="str">
        <f t="shared" si="5"/>
        <v>Adults</v>
      </c>
    </row>
    <row r="73" spans="1:13" x14ac:dyDescent="0.25">
      <c r="A73" t="s">
        <v>250</v>
      </c>
      <c r="B73" t="s">
        <v>251</v>
      </c>
      <c r="C73" s="6">
        <v>41632</v>
      </c>
      <c r="D73" t="s">
        <v>11</v>
      </c>
      <c r="E73" t="s">
        <v>163</v>
      </c>
      <c r="F73" t="s">
        <v>13</v>
      </c>
      <c r="G73" t="s">
        <v>233</v>
      </c>
      <c r="H73" s="6">
        <v>44465</v>
      </c>
      <c r="I73" s="6">
        <v>44482</v>
      </c>
      <c r="J73" s="4">
        <v>14011.74</v>
      </c>
      <c r="K73">
        <f t="shared" si="4"/>
        <v>17</v>
      </c>
      <c r="L73">
        <f t="shared" si="3"/>
        <v>7</v>
      </c>
      <c r="M73" t="str">
        <f t="shared" si="5"/>
        <v>Children and Adolescent</v>
      </c>
    </row>
    <row r="74" spans="1:13" x14ac:dyDescent="0.25">
      <c r="A74" t="s">
        <v>252</v>
      </c>
      <c r="B74" t="s">
        <v>253</v>
      </c>
      <c r="C74" s="6">
        <v>28319</v>
      </c>
      <c r="D74" t="s">
        <v>27</v>
      </c>
      <c r="E74" t="s">
        <v>84</v>
      </c>
      <c r="F74" t="s">
        <v>85</v>
      </c>
      <c r="G74" t="s">
        <v>254</v>
      </c>
      <c r="H74" s="6">
        <v>44466</v>
      </c>
      <c r="I74" s="6">
        <v>44478</v>
      </c>
      <c r="J74" s="4">
        <v>2394.11</v>
      </c>
      <c r="K74">
        <f t="shared" si="4"/>
        <v>12</v>
      </c>
      <c r="L74">
        <f t="shared" si="3"/>
        <v>44</v>
      </c>
      <c r="M74" t="str">
        <f t="shared" si="5"/>
        <v>Adults</v>
      </c>
    </row>
    <row r="75" spans="1:13" x14ac:dyDescent="0.25">
      <c r="A75" t="s">
        <v>255</v>
      </c>
      <c r="B75" t="s">
        <v>256</v>
      </c>
      <c r="C75" s="6">
        <v>45474</v>
      </c>
      <c r="D75" t="s">
        <v>11</v>
      </c>
      <c r="E75" t="s">
        <v>60</v>
      </c>
      <c r="F75" t="s">
        <v>88</v>
      </c>
      <c r="G75" t="s">
        <v>89</v>
      </c>
      <c r="H75" s="6">
        <v>44467</v>
      </c>
      <c r="I75" s="6">
        <v>44482</v>
      </c>
      <c r="J75" s="4">
        <v>27284.75</v>
      </c>
      <c r="K75">
        <f t="shared" si="4"/>
        <v>15</v>
      </c>
      <c r="L75" t="str">
        <f t="shared" si="3"/>
        <v>Invalid DOB</v>
      </c>
      <c r="M75" t="str">
        <f t="shared" si="5"/>
        <v>Invalid DOB</v>
      </c>
    </row>
    <row r="76" spans="1:13" x14ac:dyDescent="0.25">
      <c r="A76" t="s">
        <v>257</v>
      </c>
      <c r="B76" t="s">
        <v>258</v>
      </c>
      <c r="C76" s="6">
        <v>28633</v>
      </c>
      <c r="D76" t="s">
        <v>27</v>
      </c>
      <c r="E76" t="s">
        <v>28</v>
      </c>
      <c r="F76" t="s">
        <v>43</v>
      </c>
      <c r="G76" t="s">
        <v>124</v>
      </c>
      <c r="H76" s="6">
        <v>44468</v>
      </c>
      <c r="I76" s="6">
        <v>44472</v>
      </c>
      <c r="J76" s="4">
        <v>23553.22</v>
      </c>
      <c r="K76">
        <f t="shared" si="4"/>
        <v>4</v>
      </c>
      <c r="L76">
        <f t="shared" si="3"/>
        <v>43</v>
      </c>
      <c r="M76" t="str">
        <f t="shared" si="5"/>
        <v>Adults</v>
      </c>
    </row>
    <row r="77" spans="1:13" x14ac:dyDescent="0.25">
      <c r="A77" t="s">
        <v>259</v>
      </c>
      <c r="B77" t="s">
        <v>260</v>
      </c>
      <c r="C77" s="6">
        <v>36726</v>
      </c>
      <c r="D77" t="s">
        <v>11</v>
      </c>
      <c r="E77" t="s">
        <v>72</v>
      </c>
      <c r="F77" t="s">
        <v>73</v>
      </c>
      <c r="G77" t="s">
        <v>74</v>
      </c>
      <c r="H77" s="6">
        <v>44468</v>
      </c>
      <c r="I77" s="6">
        <v>44489</v>
      </c>
      <c r="J77" s="4">
        <v>5905.59</v>
      </c>
      <c r="K77">
        <f t="shared" si="4"/>
        <v>21</v>
      </c>
      <c r="L77">
        <f t="shared" si="3"/>
        <v>21</v>
      </c>
      <c r="M77" t="str">
        <f t="shared" si="5"/>
        <v>Young Adults</v>
      </c>
    </row>
    <row r="78" spans="1:13" x14ac:dyDescent="0.25">
      <c r="A78" t="s">
        <v>261</v>
      </c>
      <c r="B78" t="s">
        <v>262</v>
      </c>
      <c r="C78" s="6">
        <v>43280</v>
      </c>
      <c r="D78" t="s">
        <v>27</v>
      </c>
      <c r="E78" t="s">
        <v>152</v>
      </c>
      <c r="F78" t="s">
        <v>13</v>
      </c>
      <c r="G78" t="s">
        <v>214</v>
      </c>
      <c r="H78" s="6">
        <v>44468</v>
      </c>
      <c r="I78" s="6">
        <v>44476</v>
      </c>
      <c r="J78" s="4">
        <v>8059.6</v>
      </c>
      <c r="K78">
        <f t="shared" si="4"/>
        <v>8</v>
      </c>
      <c r="L78">
        <f t="shared" si="3"/>
        <v>3</v>
      </c>
      <c r="M78" t="str">
        <f t="shared" si="5"/>
        <v>Early childhood</v>
      </c>
    </row>
    <row r="79" spans="1:13" x14ac:dyDescent="0.25">
      <c r="A79" t="s">
        <v>263</v>
      </c>
      <c r="B79" t="s">
        <v>264</v>
      </c>
      <c r="C79" s="6">
        <v>31240</v>
      </c>
      <c r="D79" t="s">
        <v>27</v>
      </c>
      <c r="E79" t="s">
        <v>142</v>
      </c>
      <c r="F79" t="s">
        <v>200</v>
      </c>
      <c r="G79" t="s">
        <v>143</v>
      </c>
      <c r="H79" s="6">
        <v>44469</v>
      </c>
      <c r="I79" s="6">
        <v>44470</v>
      </c>
      <c r="J79" s="4">
        <v>747.72</v>
      </c>
      <c r="K79">
        <f t="shared" si="4"/>
        <v>1</v>
      </c>
      <c r="L79">
        <f t="shared" si="3"/>
        <v>36</v>
      </c>
      <c r="M79" t="str">
        <f t="shared" si="5"/>
        <v>Adults</v>
      </c>
    </row>
    <row r="80" spans="1:13" x14ac:dyDescent="0.25">
      <c r="A80" t="s">
        <v>265</v>
      </c>
      <c r="B80" t="s">
        <v>266</v>
      </c>
      <c r="C80" s="6">
        <v>15382</v>
      </c>
      <c r="D80" t="s">
        <v>27</v>
      </c>
      <c r="E80" t="s">
        <v>60</v>
      </c>
      <c r="F80" t="s">
        <v>88</v>
      </c>
      <c r="G80" t="s">
        <v>62</v>
      </c>
      <c r="H80" s="6">
        <v>44469</v>
      </c>
      <c r="I80" s="6">
        <v>44477</v>
      </c>
      <c r="J80" s="4">
        <v>56380.86</v>
      </c>
      <c r="K80">
        <f t="shared" si="4"/>
        <v>8</v>
      </c>
      <c r="L80">
        <f t="shared" si="3"/>
        <v>79</v>
      </c>
      <c r="M80" t="str">
        <f t="shared" si="5"/>
        <v>Older Adults</v>
      </c>
    </row>
    <row r="81" spans="1:13" x14ac:dyDescent="0.25">
      <c r="A81" t="s">
        <v>267</v>
      </c>
      <c r="B81" t="s">
        <v>268</v>
      </c>
      <c r="C81" s="6">
        <v>22828</v>
      </c>
      <c r="D81" t="s">
        <v>11</v>
      </c>
      <c r="E81" t="s">
        <v>163</v>
      </c>
      <c r="F81" t="s">
        <v>164</v>
      </c>
      <c r="G81" t="s">
        <v>165</v>
      </c>
      <c r="H81" s="6">
        <v>44470</v>
      </c>
      <c r="I81" s="6">
        <v>44476</v>
      </c>
      <c r="J81" s="4">
        <v>49858.44</v>
      </c>
      <c r="K81">
        <f t="shared" si="4"/>
        <v>6</v>
      </c>
      <c r="L81">
        <f t="shared" si="3"/>
        <v>59</v>
      </c>
      <c r="M81" t="str">
        <f t="shared" si="5"/>
        <v>Adults</v>
      </c>
    </row>
    <row r="82" spans="1:13" x14ac:dyDescent="0.25">
      <c r="A82" t="s">
        <v>269</v>
      </c>
      <c r="B82" t="s">
        <v>270</v>
      </c>
      <c r="C82" s="6">
        <v>29653</v>
      </c>
      <c r="D82" t="s">
        <v>27</v>
      </c>
      <c r="E82" t="s">
        <v>271</v>
      </c>
      <c r="F82" t="s">
        <v>272</v>
      </c>
      <c r="G82" t="s">
        <v>273</v>
      </c>
      <c r="H82" s="6">
        <v>44470</v>
      </c>
      <c r="I82" s="6">
        <v>44472</v>
      </c>
      <c r="J82" s="4">
        <v>806.64</v>
      </c>
      <c r="K82">
        <f t="shared" si="4"/>
        <v>2</v>
      </c>
      <c r="L82">
        <f t="shared" si="3"/>
        <v>40</v>
      </c>
      <c r="M82" t="str">
        <f t="shared" si="5"/>
        <v>Adults</v>
      </c>
    </row>
    <row r="83" spans="1:13" x14ac:dyDescent="0.25">
      <c r="A83" t="s">
        <v>274</v>
      </c>
      <c r="B83" t="s">
        <v>275</v>
      </c>
      <c r="C83" s="6">
        <v>37361</v>
      </c>
      <c r="D83" t="s">
        <v>27</v>
      </c>
      <c r="E83" t="s">
        <v>51</v>
      </c>
      <c r="F83" t="s">
        <v>13</v>
      </c>
      <c r="G83" t="s">
        <v>52</v>
      </c>
      <c r="H83" s="6">
        <v>44471</v>
      </c>
      <c r="I83" s="6">
        <v>44486</v>
      </c>
      <c r="J83" s="4">
        <v>6554.54</v>
      </c>
      <c r="K83">
        <f t="shared" si="4"/>
        <v>15</v>
      </c>
      <c r="L83">
        <f t="shared" si="3"/>
        <v>19</v>
      </c>
      <c r="M83" t="str">
        <f t="shared" si="5"/>
        <v>Young Adults</v>
      </c>
    </row>
    <row r="84" spans="1:13" x14ac:dyDescent="0.25">
      <c r="A84" t="s">
        <v>276</v>
      </c>
      <c r="B84" t="s">
        <v>277</v>
      </c>
      <c r="C84" s="6">
        <v>11706</v>
      </c>
      <c r="D84" t="s">
        <v>11</v>
      </c>
      <c r="E84" t="s">
        <v>72</v>
      </c>
      <c r="F84" t="s">
        <v>73</v>
      </c>
      <c r="G84" t="s">
        <v>278</v>
      </c>
      <c r="H84" s="6">
        <v>44473</v>
      </c>
      <c r="I84" s="6">
        <v>44478</v>
      </c>
      <c r="J84" s="4">
        <v>2194.42</v>
      </c>
      <c r="K84">
        <f t="shared" si="4"/>
        <v>5</v>
      </c>
      <c r="L84">
        <f t="shared" si="3"/>
        <v>89</v>
      </c>
      <c r="M84" t="str">
        <f t="shared" si="5"/>
        <v>Older Adults</v>
      </c>
    </row>
    <row r="85" spans="1:13" x14ac:dyDescent="0.25">
      <c r="A85" t="s">
        <v>279</v>
      </c>
      <c r="B85" t="s">
        <v>280</v>
      </c>
      <c r="C85" s="6">
        <v>39754</v>
      </c>
      <c r="D85" t="s">
        <v>11</v>
      </c>
      <c r="E85" t="s">
        <v>281</v>
      </c>
      <c r="F85" t="s">
        <v>13</v>
      </c>
      <c r="G85" t="s">
        <v>282</v>
      </c>
      <c r="H85" s="6">
        <v>44473</v>
      </c>
      <c r="I85" s="6">
        <v>44478</v>
      </c>
      <c r="J85" s="4">
        <v>47848.06</v>
      </c>
      <c r="K85">
        <f t="shared" si="4"/>
        <v>5</v>
      </c>
      <c r="L85">
        <f t="shared" si="3"/>
        <v>12</v>
      </c>
      <c r="M85" t="str">
        <f t="shared" si="5"/>
        <v>Children and Adolescent</v>
      </c>
    </row>
    <row r="86" spans="1:13" x14ac:dyDescent="0.25">
      <c r="A86" t="s">
        <v>283</v>
      </c>
      <c r="B86" t="s">
        <v>284</v>
      </c>
      <c r="C86" s="6">
        <v>17852</v>
      </c>
      <c r="D86" t="s">
        <v>27</v>
      </c>
      <c r="E86" t="s">
        <v>142</v>
      </c>
      <c r="F86" t="s">
        <v>110</v>
      </c>
      <c r="G86" t="s">
        <v>285</v>
      </c>
      <c r="H86" s="6">
        <v>44475</v>
      </c>
      <c r="I86" s="6">
        <v>44503</v>
      </c>
      <c r="J86" s="4">
        <v>1050.25</v>
      </c>
      <c r="K86">
        <f t="shared" si="4"/>
        <v>28</v>
      </c>
      <c r="L86">
        <f t="shared" si="3"/>
        <v>72</v>
      </c>
      <c r="M86" t="str">
        <f t="shared" si="5"/>
        <v>Older Adults</v>
      </c>
    </row>
    <row r="87" spans="1:13" x14ac:dyDescent="0.25">
      <c r="A87" t="s">
        <v>286</v>
      </c>
      <c r="B87" t="s">
        <v>287</v>
      </c>
      <c r="C87" s="6">
        <v>16972</v>
      </c>
      <c r="D87" t="s">
        <v>11</v>
      </c>
      <c r="E87" t="s">
        <v>22</v>
      </c>
      <c r="F87" t="s">
        <v>110</v>
      </c>
      <c r="G87" t="s">
        <v>107</v>
      </c>
      <c r="H87" s="6">
        <v>44476</v>
      </c>
      <c r="I87" s="6">
        <v>44485</v>
      </c>
      <c r="J87" s="4">
        <v>890.12</v>
      </c>
      <c r="K87">
        <f t="shared" si="4"/>
        <v>9</v>
      </c>
      <c r="L87">
        <f t="shared" si="3"/>
        <v>75</v>
      </c>
      <c r="M87" t="str">
        <f t="shared" si="5"/>
        <v>Older Adults</v>
      </c>
    </row>
    <row r="88" spans="1:13" x14ac:dyDescent="0.25">
      <c r="A88" t="s">
        <v>288</v>
      </c>
      <c r="B88" t="s">
        <v>289</v>
      </c>
      <c r="C88" s="6">
        <v>36589</v>
      </c>
      <c r="D88" t="s">
        <v>11</v>
      </c>
      <c r="E88" t="s">
        <v>281</v>
      </c>
      <c r="F88" t="s">
        <v>13</v>
      </c>
      <c r="G88" t="s">
        <v>282</v>
      </c>
      <c r="H88" s="6">
        <v>44477</v>
      </c>
      <c r="I88" s="6">
        <v>44499</v>
      </c>
      <c r="J88" s="4">
        <v>14544.14</v>
      </c>
      <c r="K88">
        <f t="shared" si="4"/>
        <v>22</v>
      </c>
      <c r="L88">
        <f t="shared" si="3"/>
        <v>21</v>
      </c>
      <c r="M88" t="str">
        <f t="shared" si="5"/>
        <v>Young Adults</v>
      </c>
    </row>
    <row r="89" spans="1:13" x14ac:dyDescent="0.25">
      <c r="A89" t="s">
        <v>290</v>
      </c>
      <c r="B89" t="s">
        <v>291</v>
      </c>
      <c r="C89" s="6">
        <v>30091</v>
      </c>
      <c r="D89" t="s">
        <v>27</v>
      </c>
      <c r="E89" t="s">
        <v>17</v>
      </c>
      <c r="F89" t="s">
        <v>34</v>
      </c>
      <c r="G89" t="s">
        <v>135</v>
      </c>
      <c r="H89" s="6">
        <v>44478</v>
      </c>
      <c r="I89" s="6">
        <v>44485</v>
      </c>
      <c r="J89" s="4">
        <v>2783.14</v>
      </c>
      <c r="K89">
        <f t="shared" si="4"/>
        <v>7</v>
      </c>
      <c r="L89">
        <f t="shared" si="3"/>
        <v>39</v>
      </c>
      <c r="M89" t="str">
        <f t="shared" si="5"/>
        <v>Adults</v>
      </c>
    </row>
    <row r="90" spans="1:13" x14ac:dyDescent="0.25">
      <c r="A90" t="s">
        <v>292</v>
      </c>
      <c r="B90" t="s">
        <v>293</v>
      </c>
      <c r="C90" s="6">
        <v>29997</v>
      </c>
      <c r="D90" t="s">
        <v>11</v>
      </c>
      <c r="E90" t="s">
        <v>38</v>
      </c>
      <c r="F90" t="s">
        <v>13</v>
      </c>
      <c r="G90" t="s">
        <v>77</v>
      </c>
      <c r="H90" s="6">
        <v>44481</v>
      </c>
      <c r="I90" s="6">
        <v>44490</v>
      </c>
      <c r="J90" s="4">
        <v>4392.3500000000004</v>
      </c>
      <c r="K90">
        <f t="shared" si="4"/>
        <v>9</v>
      </c>
      <c r="L90">
        <f t="shared" si="3"/>
        <v>39</v>
      </c>
      <c r="M90" t="str">
        <f t="shared" si="5"/>
        <v>Adults</v>
      </c>
    </row>
    <row r="91" spans="1:13" x14ac:dyDescent="0.25">
      <c r="A91" t="s">
        <v>294</v>
      </c>
      <c r="B91" t="s">
        <v>295</v>
      </c>
      <c r="C91" s="6">
        <v>30799</v>
      </c>
      <c r="D91" t="s">
        <v>11</v>
      </c>
      <c r="E91" t="s">
        <v>92</v>
      </c>
      <c r="F91" t="s">
        <v>93</v>
      </c>
      <c r="G91" t="s">
        <v>296</v>
      </c>
      <c r="H91" s="6">
        <v>44482</v>
      </c>
      <c r="I91" s="6">
        <v>44503</v>
      </c>
      <c r="J91" s="4">
        <v>1229.01</v>
      </c>
      <c r="K91">
        <f t="shared" si="4"/>
        <v>21</v>
      </c>
      <c r="L91">
        <f t="shared" si="3"/>
        <v>37</v>
      </c>
      <c r="M91" t="str">
        <f t="shared" si="5"/>
        <v>Adults</v>
      </c>
    </row>
    <row r="92" spans="1:13" x14ac:dyDescent="0.25">
      <c r="A92" t="s">
        <v>297</v>
      </c>
      <c r="B92" t="s">
        <v>298</v>
      </c>
      <c r="C92" s="6">
        <v>32043</v>
      </c>
      <c r="D92" t="s">
        <v>11</v>
      </c>
      <c r="E92" t="s">
        <v>271</v>
      </c>
      <c r="F92" t="s">
        <v>299</v>
      </c>
      <c r="G92" t="s">
        <v>273</v>
      </c>
      <c r="H92" s="6">
        <v>44484</v>
      </c>
      <c r="I92" s="6">
        <v>44504</v>
      </c>
      <c r="J92" s="4">
        <v>683.73</v>
      </c>
      <c r="K92">
        <f t="shared" si="4"/>
        <v>20</v>
      </c>
      <c r="L92">
        <f t="shared" si="3"/>
        <v>34</v>
      </c>
      <c r="M92" t="str">
        <f t="shared" si="5"/>
        <v>Adults</v>
      </c>
    </row>
    <row r="93" spans="1:13" x14ac:dyDescent="0.25">
      <c r="A93" t="s">
        <v>300</v>
      </c>
      <c r="B93" t="s">
        <v>301</v>
      </c>
      <c r="C93" s="6">
        <v>30401</v>
      </c>
      <c r="D93" t="s">
        <v>27</v>
      </c>
      <c r="E93" t="s">
        <v>302</v>
      </c>
      <c r="F93" t="s">
        <v>29</v>
      </c>
      <c r="G93" t="s">
        <v>303</v>
      </c>
      <c r="H93" s="6">
        <v>44485</v>
      </c>
      <c r="I93" s="6">
        <v>44494</v>
      </c>
      <c r="J93" s="4">
        <v>10027.870000000001</v>
      </c>
      <c r="K93">
        <f t="shared" si="4"/>
        <v>9</v>
      </c>
      <c r="L93">
        <f t="shared" si="3"/>
        <v>38</v>
      </c>
      <c r="M93" t="str">
        <f t="shared" si="5"/>
        <v>Adults</v>
      </c>
    </row>
    <row r="94" spans="1:13" x14ac:dyDescent="0.25">
      <c r="A94" t="s">
        <v>304</v>
      </c>
      <c r="B94" t="s">
        <v>305</v>
      </c>
      <c r="C94" s="6">
        <v>15925</v>
      </c>
      <c r="D94" t="s">
        <v>11</v>
      </c>
      <c r="E94" t="s">
        <v>120</v>
      </c>
      <c r="F94" t="s">
        <v>23</v>
      </c>
      <c r="G94" t="s">
        <v>306</v>
      </c>
      <c r="H94" s="6">
        <v>44486</v>
      </c>
      <c r="I94" s="6">
        <v>44510</v>
      </c>
      <c r="J94" s="4">
        <v>672.29</v>
      </c>
      <c r="K94">
        <f t="shared" si="4"/>
        <v>24</v>
      </c>
      <c r="L94">
        <f t="shared" si="3"/>
        <v>78</v>
      </c>
      <c r="M94" t="str">
        <f t="shared" si="5"/>
        <v>Older Adults</v>
      </c>
    </row>
    <row r="95" spans="1:13" x14ac:dyDescent="0.25">
      <c r="A95" t="s">
        <v>307</v>
      </c>
      <c r="B95" t="s">
        <v>308</v>
      </c>
      <c r="C95" s="6">
        <v>39052</v>
      </c>
      <c r="D95" t="s">
        <v>11</v>
      </c>
      <c r="E95" t="s">
        <v>138</v>
      </c>
      <c r="F95" t="s">
        <v>209</v>
      </c>
      <c r="G95" t="s">
        <v>146</v>
      </c>
      <c r="H95" s="6">
        <v>44488</v>
      </c>
      <c r="I95" s="6">
        <v>44507</v>
      </c>
      <c r="J95" s="4">
        <v>2398.3200000000002</v>
      </c>
      <c r="K95">
        <f t="shared" si="4"/>
        <v>19</v>
      </c>
      <c r="L95">
        <f t="shared" si="3"/>
        <v>14</v>
      </c>
      <c r="M95" t="str">
        <f t="shared" si="5"/>
        <v>Children and Adolescent</v>
      </c>
    </row>
    <row r="96" spans="1:13" x14ac:dyDescent="0.25">
      <c r="A96" t="s">
        <v>309</v>
      </c>
      <c r="B96" t="s">
        <v>310</v>
      </c>
      <c r="C96" s="6">
        <v>33574</v>
      </c>
      <c r="D96" t="s">
        <v>11</v>
      </c>
      <c r="E96" t="s">
        <v>17</v>
      </c>
      <c r="F96" t="s">
        <v>34</v>
      </c>
      <c r="G96" t="s">
        <v>135</v>
      </c>
      <c r="H96" s="6">
        <v>44490</v>
      </c>
      <c r="I96" s="6">
        <v>44492</v>
      </c>
      <c r="J96" s="4">
        <v>1273.0999999999999</v>
      </c>
      <c r="K96">
        <f t="shared" si="4"/>
        <v>2</v>
      </c>
      <c r="L96">
        <f t="shared" si="3"/>
        <v>29</v>
      </c>
      <c r="M96" t="str">
        <f t="shared" si="5"/>
        <v>Adults</v>
      </c>
    </row>
    <row r="97" spans="1:13" x14ac:dyDescent="0.25">
      <c r="A97" t="s">
        <v>311</v>
      </c>
      <c r="B97" t="s">
        <v>312</v>
      </c>
      <c r="C97" s="6">
        <v>37702</v>
      </c>
      <c r="D97" t="s">
        <v>11</v>
      </c>
      <c r="E97" t="s">
        <v>271</v>
      </c>
      <c r="F97" t="s">
        <v>272</v>
      </c>
      <c r="G97" t="s">
        <v>313</v>
      </c>
      <c r="H97" s="6">
        <v>44490</v>
      </c>
      <c r="I97" s="6">
        <v>44508</v>
      </c>
      <c r="J97" s="4">
        <v>647.42999999999995</v>
      </c>
      <c r="K97">
        <f t="shared" si="4"/>
        <v>18</v>
      </c>
      <c r="L97">
        <f t="shared" si="3"/>
        <v>18</v>
      </c>
      <c r="M97" t="str">
        <f t="shared" si="5"/>
        <v>Young Adults</v>
      </c>
    </row>
    <row r="98" spans="1:13" x14ac:dyDescent="0.25">
      <c r="A98" t="s">
        <v>314</v>
      </c>
      <c r="B98" t="s">
        <v>315</v>
      </c>
      <c r="C98" s="6">
        <v>29817</v>
      </c>
      <c r="D98" t="s">
        <v>27</v>
      </c>
      <c r="E98" t="s">
        <v>22</v>
      </c>
      <c r="F98" t="s">
        <v>110</v>
      </c>
      <c r="G98" t="s">
        <v>111</v>
      </c>
      <c r="H98" s="6">
        <v>44491</v>
      </c>
      <c r="I98" s="6">
        <v>44507</v>
      </c>
      <c r="J98" s="4">
        <v>1109.3</v>
      </c>
      <c r="K98">
        <f t="shared" si="4"/>
        <v>16</v>
      </c>
      <c r="L98">
        <f t="shared" si="3"/>
        <v>40</v>
      </c>
      <c r="M98" t="str">
        <f t="shared" si="5"/>
        <v>Adults</v>
      </c>
    </row>
    <row r="99" spans="1:13" x14ac:dyDescent="0.25">
      <c r="A99" t="s">
        <v>316</v>
      </c>
      <c r="B99" t="s">
        <v>317</v>
      </c>
      <c r="C99" s="6">
        <v>30434</v>
      </c>
      <c r="D99" t="s">
        <v>11</v>
      </c>
      <c r="E99" t="s">
        <v>17</v>
      </c>
      <c r="F99" t="s">
        <v>18</v>
      </c>
      <c r="G99" t="s">
        <v>318</v>
      </c>
      <c r="H99" s="6">
        <v>44491</v>
      </c>
      <c r="I99" s="6">
        <v>44499</v>
      </c>
      <c r="J99" s="4">
        <v>1348.57</v>
      </c>
      <c r="K99">
        <f t="shared" si="4"/>
        <v>8</v>
      </c>
      <c r="L99">
        <f t="shared" si="3"/>
        <v>38</v>
      </c>
      <c r="M99" t="str">
        <f t="shared" si="5"/>
        <v>Adults</v>
      </c>
    </row>
    <row r="100" spans="1:13" x14ac:dyDescent="0.25">
      <c r="A100" t="s">
        <v>319</v>
      </c>
      <c r="B100" t="s">
        <v>320</v>
      </c>
      <c r="C100" s="6">
        <v>11377</v>
      </c>
      <c r="D100" t="s">
        <v>27</v>
      </c>
      <c r="E100" t="s">
        <v>102</v>
      </c>
      <c r="F100" t="s">
        <v>103</v>
      </c>
      <c r="G100" t="s">
        <v>160</v>
      </c>
      <c r="H100" s="6">
        <v>44492</v>
      </c>
      <c r="I100" s="6">
        <v>44517</v>
      </c>
      <c r="J100" s="4">
        <v>5963.88</v>
      </c>
      <c r="K100">
        <f t="shared" si="4"/>
        <v>25</v>
      </c>
      <c r="L100">
        <f t="shared" si="3"/>
        <v>90</v>
      </c>
      <c r="M100" t="str">
        <f t="shared" si="5"/>
        <v>Older Adults</v>
      </c>
    </row>
    <row r="101" spans="1:13" x14ac:dyDescent="0.25">
      <c r="A101" t="s">
        <v>321</v>
      </c>
      <c r="B101" t="s">
        <v>322</v>
      </c>
      <c r="C101" s="6">
        <v>42737</v>
      </c>
      <c r="D101" t="s">
        <v>11</v>
      </c>
      <c r="E101" t="s">
        <v>142</v>
      </c>
      <c r="F101" t="s">
        <v>114</v>
      </c>
      <c r="G101" t="s">
        <v>285</v>
      </c>
      <c r="H101" s="6">
        <v>44492</v>
      </c>
      <c r="I101" s="6">
        <v>44506</v>
      </c>
      <c r="J101" s="4">
        <v>1875.02</v>
      </c>
      <c r="K101">
        <f t="shared" si="4"/>
        <v>14</v>
      </c>
      <c r="L101">
        <f t="shared" si="3"/>
        <v>4</v>
      </c>
      <c r="M101" t="str">
        <f t="shared" si="5"/>
        <v>Early childhood</v>
      </c>
    </row>
    <row r="102" spans="1:13" x14ac:dyDescent="0.25">
      <c r="A102" t="s">
        <v>323</v>
      </c>
      <c r="B102" t="s">
        <v>324</v>
      </c>
      <c r="C102" s="6">
        <v>14109</v>
      </c>
      <c r="D102" t="s">
        <v>11</v>
      </c>
      <c r="E102" t="s">
        <v>102</v>
      </c>
      <c r="F102" t="s">
        <v>103</v>
      </c>
      <c r="G102" t="s">
        <v>160</v>
      </c>
      <c r="H102" s="6">
        <v>44493</v>
      </c>
      <c r="I102" s="6">
        <v>44516</v>
      </c>
      <c r="J102" s="4">
        <v>23956.28</v>
      </c>
      <c r="K102">
        <f t="shared" si="4"/>
        <v>23</v>
      </c>
      <c r="L102">
        <f t="shared" si="3"/>
        <v>83</v>
      </c>
      <c r="M102" t="str">
        <f t="shared" si="5"/>
        <v>Older Adults</v>
      </c>
    </row>
    <row r="103" spans="1:13" x14ac:dyDescent="0.25">
      <c r="A103" t="s">
        <v>325</v>
      </c>
      <c r="B103" t="s">
        <v>326</v>
      </c>
      <c r="C103" s="6">
        <v>35468</v>
      </c>
      <c r="D103" t="s">
        <v>27</v>
      </c>
      <c r="E103" t="s">
        <v>97</v>
      </c>
      <c r="F103" t="s">
        <v>98</v>
      </c>
      <c r="G103" t="s">
        <v>221</v>
      </c>
      <c r="H103" s="6">
        <v>44496</v>
      </c>
      <c r="I103" s="6">
        <v>44500</v>
      </c>
      <c r="J103" s="4">
        <v>383.38</v>
      </c>
      <c r="K103">
        <f t="shared" si="4"/>
        <v>4</v>
      </c>
      <c r="L103">
        <f t="shared" si="3"/>
        <v>24</v>
      </c>
      <c r="M103" t="str">
        <f t="shared" si="5"/>
        <v>Young Adults</v>
      </c>
    </row>
    <row r="104" spans="1:13" x14ac:dyDescent="0.25">
      <c r="A104" t="s">
        <v>327</v>
      </c>
      <c r="B104" t="s">
        <v>328</v>
      </c>
      <c r="C104" s="6">
        <v>14229</v>
      </c>
      <c r="D104" t="s">
        <v>27</v>
      </c>
      <c r="E104" t="s">
        <v>142</v>
      </c>
      <c r="F104" t="s">
        <v>200</v>
      </c>
      <c r="G104" t="s">
        <v>143</v>
      </c>
      <c r="H104" s="6">
        <v>44497</v>
      </c>
      <c r="I104" s="6">
        <v>44505</v>
      </c>
      <c r="J104" s="4">
        <v>2309.31</v>
      </c>
      <c r="K104">
        <f t="shared" si="4"/>
        <v>8</v>
      </c>
      <c r="L104">
        <f t="shared" si="3"/>
        <v>82</v>
      </c>
      <c r="M104" t="str">
        <f t="shared" si="5"/>
        <v>Older Adults</v>
      </c>
    </row>
    <row r="105" spans="1:13" x14ac:dyDescent="0.25">
      <c r="A105" t="s">
        <v>329</v>
      </c>
      <c r="B105" t="s">
        <v>330</v>
      </c>
      <c r="C105" s="6">
        <v>26994</v>
      </c>
      <c r="D105" t="s">
        <v>27</v>
      </c>
      <c r="E105" t="s">
        <v>72</v>
      </c>
      <c r="F105" t="s">
        <v>73</v>
      </c>
      <c r="G105" t="s">
        <v>331</v>
      </c>
      <c r="H105" s="6">
        <v>44498</v>
      </c>
      <c r="I105" s="6">
        <v>44521</v>
      </c>
      <c r="J105" s="4">
        <v>5017.34</v>
      </c>
      <c r="K105">
        <f t="shared" si="4"/>
        <v>23</v>
      </c>
      <c r="L105">
        <f t="shared" si="3"/>
        <v>47</v>
      </c>
      <c r="M105" t="str">
        <f t="shared" si="5"/>
        <v>Adults</v>
      </c>
    </row>
    <row r="106" spans="1:13" x14ac:dyDescent="0.25">
      <c r="A106" t="s">
        <v>332</v>
      </c>
      <c r="B106" t="s">
        <v>333</v>
      </c>
      <c r="C106" s="6">
        <v>43654</v>
      </c>
      <c r="D106" t="s">
        <v>11</v>
      </c>
      <c r="E106" t="s">
        <v>152</v>
      </c>
      <c r="F106" t="s">
        <v>56</v>
      </c>
      <c r="G106" t="s">
        <v>214</v>
      </c>
      <c r="H106" s="6">
        <v>44498</v>
      </c>
      <c r="I106" s="6">
        <v>44503</v>
      </c>
      <c r="J106" s="4">
        <v>19018.330000000002</v>
      </c>
      <c r="K106">
        <f t="shared" si="4"/>
        <v>5</v>
      </c>
      <c r="L106">
        <f t="shared" si="3"/>
        <v>2</v>
      </c>
      <c r="M106" t="str">
        <f t="shared" si="5"/>
        <v>Early childhood</v>
      </c>
    </row>
    <row r="107" spans="1:13" x14ac:dyDescent="0.25">
      <c r="A107" t="s">
        <v>334</v>
      </c>
      <c r="B107" t="s">
        <v>335</v>
      </c>
      <c r="C107" s="6">
        <v>39927</v>
      </c>
      <c r="D107" t="s">
        <v>27</v>
      </c>
      <c r="E107" t="s">
        <v>65</v>
      </c>
      <c r="F107" t="s">
        <v>114</v>
      </c>
      <c r="G107" t="s">
        <v>66</v>
      </c>
      <c r="H107" s="6">
        <v>44498</v>
      </c>
      <c r="I107" s="6">
        <v>44514</v>
      </c>
      <c r="J107" s="4">
        <v>367.55</v>
      </c>
      <c r="K107">
        <f t="shared" si="4"/>
        <v>16</v>
      </c>
      <c r="L107">
        <f t="shared" si="3"/>
        <v>12</v>
      </c>
      <c r="M107" t="str">
        <f t="shared" si="5"/>
        <v>Children and Adolescent</v>
      </c>
    </row>
    <row r="108" spans="1:13" x14ac:dyDescent="0.25">
      <c r="A108" t="s">
        <v>336</v>
      </c>
      <c r="B108" t="s">
        <v>337</v>
      </c>
      <c r="C108" s="6">
        <v>17777</v>
      </c>
      <c r="D108" t="s">
        <v>27</v>
      </c>
      <c r="E108" t="s">
        <v>302</v>
      </c>
      <c r="F108" t="s">
        <v>13</v>
      </c>
      <c r="G108" t="s">
        <v>303</v>
      </c>
      <c r="H108" s="6">
        <v>44499</v>
      </c>
      <c r="I108" s="6">
        <v>44519</v>
      </c>
      <c r="J108" s="4">
        <v>14195.56</v>
      </c>
      <c r="K108">
        <f t="shared" si="4"/>
        <v>20</v>
      </c>
      <c r="L108">
        <f t="shared" si="3"/>
        <v>73</v>
      </c>
      <c r="M108" t="str">
        <f t="shared" si="5"/>
        <v>Older Adults</v>
      </c>
    </row>
    <row r="109" spans="1:13" x14ac:dyDescent="0.25">
      <c r="A109" t="s">
        <v>338</v>
      </c>
      <c r="B109" t="s">
        <v>339</v>
      </c>
      <c r="C109" s="6">
        <v>38731</v>
      </c>
      <c r="D109" t="s">
        <v>27</v>
      </c>
      <c r="E109" t="s">
        <v>47</v>
      </c>
      <c r="F109" t="s">
        <v>340</v>
      </c>
      <c r="G109" t="s">
        <v>341</v>
      </c>
      <c r="H109" s="6">
        <v>44499</v>
      </c>
      <c r="I109" s="6">
        <v>44512</v>
      </c>
      <c r="J109" s="4">
        <v>6823.1</v>
      </c>
      <c r="K109">
        <f t="shared" si="4"/>
        <v>13</v>
      </c>
      <c r="L109">
        <f t="shared" si="3"/>
        <v>15</v>
      </c>
      <c r="M109" t="str">
        <f t="shared" si="5"/>
        <v>Children and Adolescent</v>
      </c>
    </row>
    <row r="110" spans="1:13" x14ac:dyDescent="0.25">
      <c r="A110" t="s">
        <v>342</v>
      </c>
      <c r="B110" t="s">
        <v>343</v>
      </c>
      <c r="C110" s="6">
        <v>17341</v>
      </c>
      <c r="D110" t="s">
        <v>11</v>
      </c>
      <c r="E110" t="s">
        <v>33</v>
      </c>
      <c r="F110" t="s">
        <v>13</v>
      </c>
      <c r="G110" t="s">
        <v>35</v>
      </c>
      <c r="H110" s="6">
        <v>44500</v>
      </c>
      <c r="I110" s="6">
        <v>44530</v>
      </c>
      <c r="J110" s="4">
        <v>2300.8000000000002</v>
      </c>
      <c r="K110">
        <f t="shared" si="4"/>
        <v>30</v>
      </c>
      <c r="L110">
        <f t="shared" si="3"/>
        <v>74</v>
      </c>
      <c r="M110" t="str">
        <f t="shared" si="5"/>
        <v>Older Adults</v>
      </c>
    </row>
    <row r="111" spans="1:13" x14ac:dyDescent="0.25">
      <c r="A111" t="s">
        <v>344</v>
      </c>
      <c r="B111" t="s">
        <v>345</v>
      </c>
      <c r="C111" s="6">
        <v>23427</v>
      </c>
      <c r="D111" t="s">
        <v>27</v>
      </c>
      <c r="E111" t="s">
        <v>65</v>
      </c>
      <c r="F111" t="s">
        <v>114</v>
      </c>
      <c r="G111" t="s">
        <v>346</v>
      </c>
      <c r="H111" s="6">
        <v>44503</v>
      </c>
      <c r="I111" s="6">
        <v>44527</v>
      </c>
      <c r="J111" s="4">
        <v>345.64</v>
      </c>
      <c r="K111">
        <f t="shared" si="4"/>
        <v>24</v>
      </c>
      <c r="L111">
        <f t="shared" si="3"/>
        <v>57</v>
      </c>
      <c r="M111" t="str">
        <f t="shared" si="5"/>
        <v>Adults</v>
      </c>
    </row>
    <row r="112" spans="1:13" x14ac:dyDescent="0.25">
      <c r="A112" t="s">
        <v>347</v>
      </c>
      <c r="B112" t="s">
        <v>348</v>
      </c>
      <c r="C112" s="6">
        <v>38959</v>
      </c>
      <c r="D112" t="s">
        <v>27</v>
      </c>
      <c r="E112" t="s">
        <v>163</v>
      </c>
      <c r="F112" t="s">
        <v>13</v>
      </c>
      <c r="G112" t="s">
        <v>233</v>
      </c>
      <c r="H112" s="6">
        <v>44504</v>
      </c>
      <c r="I112" s="6">
        <v>44505</v>
      </c>
      <c r="J112" s="4">
        <v>14070.18</v>
      </c>
      <c r="K112">
        <f t="shared" si="4"/>
        <v>1</v>
      </c>
      <c r="L112">
        <f t="shared" si="3"/>
        <v>15</v>
      </c>
      <c r="M112" t="str">
        <f t="shared" si="5"/>
        <v>Children and Adolescent</v>
      </c>
    </row>
    <row r="113" spans="1:13" x14ac:dyDescent="0.25">
      <c r="A113" t="s">
        <v>349</v>
      </c>
      <c r="B113" t="s">
        <v>350</v>
      </c>
      <c r="C113" s="6">
        <v>25533</v>
      </c>
      <c r="D113" t="s">
        <v>11</v>
      </c>
      <c r="E113" t="s">
        <v>65</v>
      </c>
      <c r="F113" t="s">
        <v>114</v>
      </c>
      <c r="G113" t="s">
        <v>346</v>
      </c>
      <c r="H113" s="6">
        <v>44504</v>
      </c>
      <c r="I113" s="6">
        <v>44514</v>
      </c>
      <c r="J113" s="4">
        <v>482.23</v>
      </c>
      <c r="K113">
        <f t="shared" si="4"/>
        <v>10</v>
      </c>
      <c r="L113">
        <f t="shared" si="3"/>
        <v>51</v>
      </c>
      <c r="M113" t="str">
        <f t="shared" si="5"/>
        <v>Adults</v>
      </c>
    </row>
    <row r="114" spans="1:13" x14ac:dyDescent="0.25">
      <c r="A114" t="s">
        <v>351</v>
      </c>
      <c r="B114" t="s">
        <v>352</v>
      </c>
      <c r="C114" s="6">
        <v>37686</v>
      </c>
      <c r="D114" t="s">
        <v>27</v>
      </c>
      <c r="E114" t="s">
        <v>187</v>
      </c>
      <c r="F114" t="s">
        <v>188</v>
      </c>
      <c r="G114" t="s">
        <v>353</v>
      </c>
      <c r="H114" s="6">
        <v>44505</v>
      </c>
      <c r="I114" s="6">
        <v>44510</v>
      </c>
      <c r="J114" s="4">
        <v>9149.93</v>
      </c>
      <c r="K114">
        <f t="shared" si="4"/>
        <v>5</v>
      </c>
      <c r="L114">
        <f t="shared" si="3"/>
        <v>18</v>
      </c>
      <c r="M114" t="str">
        <f t="shared" si="5"/>
        <v>Young Adults</v>
      </c>
    </row>
    <row r="115" spans="1:13" x14ac:dyDescent="0.25">
      <c r="A115" t="s">
        <v>354</v>
      </c>
      <c r="B115" t="s">
        <v>355</v>
      </c>
      <c r="C115" s="6">
        <v>28032</v>
      </c>
      <c r="D115" t="s">
        <v>27</v>
      </c>
      <c r="E115" t="s">
        <v>12</v>
      </c>
      <c r="F115" t="s">
        <v>13</v>
      </c>
      <c r="G115" t="s">
        <v>173</v>
      </c>
      <c r="H115" s="6">
        <v>44509</v>
      </c>
      <c r="I115" s="6">
        <v>44533</v>
      </c>
      <c r="J115" s="4">
        <v>18646.04</v>
      </c>
      <c r="K115">
        <f t="shared" si="4"/>
        <v>24</v>
      </c>
      <c r="L115">
        <f t="shared" si="3"/>
        <v>45</v>
      </c>
      <c r="M115" t="str">
        <f t="shared" si="5"/>
        <v>Adults</v>
      </c>
    </row>
    <row r="116" spans="1:13" x14ac:dyDescent="0.25">
      <c r="A116" t="s">
        <v>356</v>
      </c>
      <c r="B116" t="s">
        <v>357</v>
      </c>
      <c r="C116" s="6">
        <v>22389</v>
      </c>
      <c r="D116" t="s">
        <v>11</v>
      </c>
      <c r="E116" t="s">
        <v>60</v>
      </c>
      <c r="F116" t="s">
        <v>88</v>
      </c>
      <c r="G116" t="s">
        <v>89</v>
      </c>
      <c r="H116" s="6">
        <v>44509</v>
      </c>
      <c r="I116" s="6">
        <v>44530</v>
      </c>
      <c r="J116" s="4">
        <v>31172.92</v>
      </c>
      <c r="K116">
        <f t="shared" si="4"/>
        <v>21</v>
      </c>
      <c r="L116">
        <f t="shared" si="3"/>
        <v>60</v>
      </c>
      <c r="M116" t="str">
        <f t="shared" si="5"/>
        <v>Older Adults</v>
      </c>
    </row>
    <row r="117" spans="1:13" x14ac:dyDescent="0.25">
      <c r="A117" t="s">
        <v>358</v>
      </c>
      <c r="B117" t="s">
        <v>359</v>
      </c>
      <c r="C117" s="6">
        <v>27738</v>
      </c>
      <c r="D117" t="s">
        <v>11</v>
      </c>
      <c r="E117" t="s">
        <v>97</v>
      </c>
      <c r="F117" t="s">
        <v>98</v>
      </c>
      <c r="G117" t="s">
        <v>99</v>
      </c>
      <c r="H117" s="6">
        <v>44509</v>
      </c>
      <c r="I117" s="6">
        <v>44522</v>
      </c>
      <c r="J117" s="4">
        <v>944.15</v>
      </c>
      <c r="K117">
        <f t="shared" si="4"/>
        <v>13</v>
      </c>
      <c r="L117">
        <f t="shared" si="3"/>
        <v>45</v>
      </c>
      <c r="M117" t="str">
        <f t="shared" si="5"/>
        <v>Adults</v>
      </c>
    </row>
    <row r="118" spans="1:13" x14ac:dyDescent="0.25">
      <c r="A118" t="s">
        <v>360</v>
      </c>
      <c r="B118" t="s">
        <v>361</v>
      </c>
      <c r="C118" s="6">
        <v>45163</v>
      </c>
      <c r="D118" t="s">
        <v>27</v>
      </c>
      <c r="E118" t="s">
        <v>362</v>
      </c>
      <c r="F118" t="s">
        <v>172</v>
      </c>
      <c r="G118" t="s">
        <v>363</v>
      </c>
      <c r="H118" s="6">
        <v>44510</v>
      </c>
      <c r="I118" s="6">
        <v>44530</v>
      </c>
      <c r="J118" s="4">
        <v>19103.599999999999</v>
      </c>
      <c r="K118">
        <f t="shared" si="4"/>
        <v>20</v>
      </c>
      <c r="L118" t="str">
        <f t="shared" si="3"/>
        <v>Invalid DOB</v>
      </c>
      <c r="M118" t="str">
        <f t="shared" si="5"/>
        <v>Invalid DOB</v>
      </c>
    </row>
    <row r="119" spans="1:13" x14ac:dyDescent="0.25">
      <c r="A119" t="s">
        <v>364</v>
      </c>
      <c r="B119" t="s">
        <v>365</v>
      </c>
      <c r="C119" s="6">
        <v>14760</v>
      </c>
      <c r="D119" t="s">
        <v>27</v>
      </c>
      <c r="E119" t="s">
        <v>17</v>
      </c>
      <c r="F119" t="s">
        <v>34</v>
      </c>
      <c r="G119" t="s">
        <v>318</v>
      </c>
      <c r="H119" s="6">
        <v>44510</v>
      </c>
      <c r="I119" s="6">
        <v>44529</v>
      </c>
      <c r="J119" s="4">
        <v>1835.77</v>
      </c>
      <c r="K119">
        <f t="shared" si="4"/>
        <v>19</v>
      </c>
      <c r="L119">
        <f t="shared" si="3"/>
        <v>81</v>
      </c>
      <c r="M119" t="str">
        <f t="shared" si="5"/>
        <v>Older Adults</v>
      </c>
    </row>
    <row r="120" spans="1:13" x14ac:dyDescent="0.25">
      <c r="A120" t="s">
        <v>366</v>
      </c>
      <c r="B120" t="s">
        <v>367</v>
      </c>
      <c r="C120" s="6">
        <v>16325</v>
      </c>
      <c r="D120" t="s">
        <v>11</v>
      </c>
      <c r="E120" t="s">
        <v>92</v>
      </c>
      <c r="F120" t="s">
        <v>93</v>
      </c>
      <c r="G120" t="s">
        <v>94</v>
      </c>
      <c r="H120" s="6">
        <v>44514</v>
      </c>
      <c r="I120" s="6">
        <v>44518</v>
      </c>
      <c r="J120" s="4">
        <v>1182.3499999999999</v>
      </c>
      <c r="K120">
        <f t="shared" si="4"/>
        <v>4</v>
      </c>
      <c r="L120">
        <f t="shared" si="3"/>
        <v>77</v>
      </c>
      <c r="M120" t="str">
        <f t="shared" si="5"/>
        <v>Older Adults</v>
      </c>
    </row>
    <row r="121" spans="1:13" x14ac:dyDescent="0.25">
      <c r="A121" t="s">
        <v>368</v>
      </c>
      <c r="B121" t="s">
        <v>369</v>
      </c>
      <c r="C121" s="6">
        <v>30851</v>
      </c>
      <c r="D121" t="s">
        <v>27</v>
      </c>
      <c r="E121" t="s">
        <v>72</v>
      </c>
      <c r="F121" t="s">
        <v>34</v>
      </c>
      <c r="G121" t="s">
        <v>74</v>
      </c>
      <c r="H121" s="6">
        <v>44516</v>
      </c>
      <c r="I121" s="6">
        <v>44529</v>
      </c>
      <c r="J121" s="4">
        <v>5212.7299999999996</v>
      </c>
      <c r="K121">
        <f t="shared" si="4"/>
        <v>13</v>
      </c>
      <c r="L121">
        <f t="shared" si="3"/>
        <v>37</v>
      </c>
      <c r="M121" t="str">
        <f t="shared" si="5"/>
        <v>Adults</v>
      </c>
    </row>
    <row r="122" spans="1:13" x14ac:dyDescent="0.25">
      <c r="A122" t="s">
        <v>370</v>
      </c>
      <c r="B122" t="s">
        <v>371</v>
      </c>
      <c r="C122" s="6">
        <v>25116</v>
      </c>
      <c r="D122" t="s">
        <v>11</v>
      </c>
      <c r="E122" t="s">
        <v>38</v>
      </c>
      <c r="F122" t="s">
        <v>13</v>
      </c>
      <c r="G122" t="s">
        <v>117</v>
      </c>
      <c r="H122" s="6">
        <v>44517</v>
      </c>
      <c r="I122" s="6">
        <v>44543</v>
      </c>
      <c r="J122" s="4">
        <v>3591.87</v>
      </c>
      <c r="K122">
        <f t="shared" si="4"/>
        <v>26</v>
      </c>
      <c r="L122">
        <f t="shared" si="3"/>
        <v>53</v>
      </c>
      <c r="M122" t="str">
        <f t="shared" si="5"/>
        <v>Adults</v>
      </c>
    </row>
    <row r="123" spans="1:13" x14ac:dyDescent="0.25">
      <c r="A123" t="s">
        <v>372</v>
      </c>
      <c r="B123" t="s">
        <v>373</v>
      </c>
      <c r="C123" s="6">
        <v>38674</v>
      </c>
      <c r="D123" t="s">
        <v>27</v>
      </c>
      <c r="E123" t="s">
        <v>142</v>
      </c>
      <c r="F123" t="s">
        <v>200</v>
      </c>
      <c r="G123" t="s">
        <v>285</v>
      </c>
      <c r="H123" s="6">
        <v>44521</v>
      </c>
      <c r="I123" s="6">
        <v>44531</v>
      </c>
      <c r="J123" s="4">
        <v>777.41</v>
      </c>
      <c r="K123">
        <f t="shared" si="4"/>
        <v>10</v>
      </c>
      <c r="L123">
        <f t="shared" si="3"/>
        <v>16</v>
      </c>
      <c r="M123" t="str">
        <f t="shared" si="5"/>
        <v>Children and Adolescent</v>
      </c>
    </row>
    <row r="124" spans="1:13" x14ac:dyDescent="0.25">
      <c r="A124" t="s">
        <v>374</v>
      </c>
      <c r="B124" t="s">
        <v>375</v>
      </c>
      <c r="C124" s="6">
        <v>10507</v>
      </c>
      <c r="D124" t="s">
        <v>11</v>
      </c>
      <c r="E124" t="s">
        <v>28</v>
      </c>
      <c r="F124" t="s">
        <v>43</v>
      </c>
      <c r="G124" t="s">
        <v>124</v>
      </c>
      <c r="H124" s="6">
        <v>44521</v>
      </c>
      <c r="I124" s="6">
        <v>44529</v>
      </c>
      <c r="J124" s="4">
        <v>25720.59</v>
      </c>
      <c r="K124">
        <f t="shared" si="4"/>
        <v>8</v>
      </c>
      <c r="L124">
        <f t="shared" si="3"/>
        <v>93</v>
      </c>
      <c r="M124" t="str">
        <f t="shared" si="5"/>
        <v>Older Adults</v>
      </c>
    </row>
    <row r="125" spans="1:13" x14ac:dyDescent="0.25">
      <c r="A125" t="s">
        <v>376</v>
      </c>
      <c r="B125" t="s">
        <v>377</v>
      </c>
      <c r="C125" s="6">
        <v>29237</v>
      </c>
      <c r="D125" t="s">
        <v>11</v>
      </c>
      <c r="E125" t="s">
        <v>33</v>
      </c>
      <c r="F125" t="s">
        <v>13</v>
      </c>
      <c r="G125" t="s">
        <v>378</v>
      </c>
      <c r="H125" s="6">
        <v>44522</v>
      </c>
      <c r="I125" s="6">
        <v>44525</v>
      </c>
      <c r="J125" s="4">
        <v>3519.02</v>
      </c>
      <c r="K125">
        <f t="shared" si="4"/>
        <v>3</v>
      </c>
      <c r="L125">
        <f t="shared" si="3"/>
        <v>41</v>
      </c>
      <c r="M125" t="str">
        <f t="shared" si="5"/>
        <v>Adults</v>
      </c>
    </row>
    <row r="126" spans="1:13" x14ac:dyDescent="0.25">
      <c r="A126" t="s">
        <v>379</v>
      </c>
      <c r="B126" t="s">
        <v>380</v>
      </c>
      <c r="C126" s="6">
        <v>14897</v>
      </c>
      <c r="D126" t="s">
        <v>11</v>
      </c>
      <c r="E126" t="s">
        <v>72</v>
      </c>
      <c r="F126" t="s">
        <v>13</v>
      </c>
      <c r="G126" t="s">
        <v>278</v>
      </c>
      <c r="H126" s="6">
        <v>44525</v>
      </c>
      <c r="I126" s="6">
        <v>44527</v>
      </c>
      <c r="J126" s="4">
        <v>4517.2700000000004</v>
      </c>
      <c r="K126">
        <f t="shared" si="4"/>
        <v>2</v>
      </c>
      <c r="L126">
        <f t="shared" si="3"/>
        <v>81</v>
      </c>
      <c r="M126" t="str">
        <f t="shared" si="5"/>
        <v>Older Adults</v>
      </c>
    </row>
    <row r="127" spans="1:13" x14ac:dyDescent="0.25">
      <c r="A127" t="s">
        <v>381</v>
      </c>
      <c r="B127" t="s">
        <v>382</v>
      </c>
      <c r="C127" s="6">
        <v>43753</v>
      </c>
      <c r="D127" t="s">
        <v>11</v>
      </c>
      <c r="E127" t="s">
        <v>138</v>
      </c>
      <c r="F127" t="s">
        <v>110</v>
      </c>
      <c r="G127" t="s">
        <v>139</v>
      </c>
      <c r="H127" s="6">
        <v>44526</v>
      </c>
      <c r="I127" s="6">
        <v>44533</v>
      </c>
      <c r="J127" s="4">
        <v>1624.42</v>
      </c>
      <c r="K127">
        <f t="shared" si="4"/>
        <v>7</v>
      </c>
      <c r="L127">
        <f t="shared" si="3"/>
        <v>2</v>
      </c>
      <c r="M127" t="str">
        <f t="shared" si="5"/>
        <v>Early childhood</v>
      </c>
    </row>
    <row r="128" spans="1:13" x14ac:dyDescent="0.25">
      <c r="A128" t="s">
        <v>383</v>
      </c>
      <c r="B128" t="s">
        <v>384</v>
      </c>
      <c r="C128" s="6">
        <v>27426</v>
      </c>
      <c r="D128" t="s">
        <v>27</v>
      </c>
      <c r="E128" t="s">
        <v>271</v>
      </c>
      <c r="F128" t="s">
        <v>299</v>
      </c>
      <c r="G128" t="s">
        <v>385</v>
      </c>
      <c r="H128" s="6">
        <v>44526</v>
      </c>
      <c r="I128" s="6">
        <v>44529</v>
      </c>
      <c r="J128" s="4">
        <v>340.6</v>
      </c>
      <c r="K128">
        <f t="shared" si="4"/>
        <v>3</v>
      </c>
      <c r="L128">
        <f t="shared" si="3"/>
        <v>46</v>
      </c>
      <c r="M128" t="str">
        <f t="shared" si="5"/>
        <v>Adults</v>
      </c>
    </row>
    <row r="129" spans="1:13" x14ac:dyDescent="0.25">
      <c r="A129" t="s">
        <v>386</v>
      </c>
      <c r="B129" t="s">
        <v>387</v>
      </c>
      <c r="C129" s="6">
        <v>37586</v>
      </c>
      <c r="D129" t="s">
        <v>27</v>
      </c>
      <c r="E129" t="s">
        <v>97</v>
      </c>
      <c r="F129" t="s">
        <v>98</v>
      </c>
      <c r="G129" t="s">
        <v>99</v>
      </c>
      <c r="H129" s="6">
        <v>44527</v>
      </c>
      <c r="I129" s="6">
        <v>44535</v>
      </c>
      <c r="J129" s="4">
        <v>281.82</v>
      </c>
      <c r="K129">
        <f t="shared" si="4"/>
        <v>8</v>
      </c>
      <c r="L129">
        <f t="shared" si="3"/>
        <v>19</v>
      </c>
      <c r="M129" t="str">
        <f t="shared" si="5"/>
        <v>Young Adults</v>
      </c>
    </row>
    <row r="130" spans="1:13" x14ac:dyDescent="0.25">
      <c r="A130" t="s">
        <v>388</v>
      </c>
      <c r="B130" t="s">
        <v>389</v>
      </c>
      <c r="C130" s="6">
        <v>31456</v>
      </c>
      <c r="D130" t="s">
        <v>27</v>
      </c>
      <c r="E130" t="s">
        <v>187</v>
      </c>
      <c r="F130" t="s">
        <v>13</v>
      </c>
      <c r="G130" t="s">
        <v>189</v>
      </c>
      <c r="H130" s="6">
        <v>44529</v>
      </c>
      <c r="I130" s="6">
        <v>44557</v>
      </c>
      <c r="J130" s="4">
        <v>13924.19</v>
      </c>
      <c r="K130">
        <f t="shared" si="4"/>
        <v>28</v>
      </c>
      <c r="L130">
        <f t="shared" ref="L130:L193" si="6">IF(C130&gt;H130,"Invalid DOB",DATEDIF(C130,H130,"Y"))</f>
        <v>35</v>
      </c>
      <c r="M130" t="str">
        <f t="shared" si="5"/>
        <v>Adults</v>
      </c>
    </row>
    <row r="131" spans="1:13" x14ac:dyDescent="0.25">
      <c r="A131" t="s">
        <v>390</v>
      </c>
      <c r="B131" t="s">
        <v>391</v>
      </c>
      <c r="C131" s="6">
        <v>37919</v>
      </c>
      <c r="D131" t="s">
        <v>27</v>
      </c>
      <c r="E131" t="s">
        <v>38</v>
      </c>
      <c r="F131" t="s">
        <v>13</v>
      </c>
      <c r="G131" t="s">
        <v>117</v>
      </c>
      <c r="H131" s="6">
        <v>44529</v>
      </c>
      <c r="I131" s="6">
        <v>44555</v>
      </c>
      <c r="J131" s="4">
        <v>3563.84</v>
      </c>
      <c r="K131">
        <f t="shared" ref="K131:K194" si="7">I131-H131</f>
        <v>26</v>
      </c>
      <c r="L131">
        <f t="shared" si="6"/>
        <v>18</v>
      </c>
      <c r="M131" t="str">
        <f t="shared" ref="M131:M194" si="8">IF(L131="Invalid DOB","Invalid DOB",IF(L131&lt;=4,"Early childhood",IF(L131&lt;=17,"Children and Adolescent",IF(L131&lt;=24,"Young Adults",IF(L131&lt;=59,"Adults","Older Adults")))))</f>
        <v>Young Adults</v>
      </c>
    </row>
    <row r="132" spans="1:13" x14ac:dyDescent="0.25">
      <c r="A132" t="s">
        <v>392</v>
      </c>
      <c r="B132" t="s">
        <v>393</v>
      </c>
      <c r="C132" s="6">
        <v>44589</v>
      </c>
      <c r="D132" t="s">
        <v>11</v>
      </c>
      <c r="E132" t="s">
        <v>142</v>
      </c>
      <c r="F132" t="s">
        <v>114</v>
      </c>
      <c r="G132" t="s">
        <v>394</v>
      </c>
      <c r="H132" s="6">
        <v>44531</v>
      </c>
      <c r="I132" s="6">
        <v>44541</v>
      </c>
      <c r="J132" s="4">
        <v>2919.32</v>
      </c>
      <c r="K132">
        <f t="shared" si="7"/>
        <v>10</v>
      </c>
      <c r="L132" t="str">
        <f t="shared" si="6"/>
        <v>Invalid DOB</v>
      </c>
      <c r="M132" t="str">
        <f t="shared" si="8"/>
        <v>Invalid DOB</v>
      </c>
    </row>
    <row r="133" spans="1:13" x14ac:dyDescent="0.25">
      <c r="A133" t="s">
        <v>395</v>
      </c>
      <c r="B133" t="s">
        <v>396</v>
      </c>
      <c r="C133" s="6">
        <v>23008</v>
      </c>
      <c r="D133" t="s">
        <v>27</v>
      </c>
      <c r="E133" t="s">
        <v>84</v>
      </c>
      <c r="F133" t="s">
        <v>85</v>
      </c>
      <c r="G133" t="s">
        <v>254</v>
      </c>
      <c r="H133" s="6">
        <v>44531</v>
      </c>
      <c r="I133" s="6">
        <v>44560</v>
      </c>
      <c r="J133" s="4">
        <v>3292.87</v>
      </c>
      <c r="K133">
        <f t="shared" si="7"/>
        <v>29</v>
      </c>
      <c r="L133">
        <f t="shared" si="6"/>
        <v>58</v>
      </c>
      <c r="M133" t="str">
        <f t="shared" si="8"/>
        <v>Adults</v>
      </c>
    </row>
    <row r="134" spans="1:13" x14ac:dyDescent="0.25">
      <c r="A134" t="s">
        <v>397</v>
      </c>
      <c r="B134" t="s">
        <v>398</v>
      </c>
      <c r="C134" s="6">
        <v>25760</v>
      </c>
      <c r="D134" t="s">
        <v>27</v>
      </c>
      <c r="E134" t="s">
        <v>302</v>
      </c>
      <c r="F134" t="s">
        <v>29</v>
      </c>
      <c r="G134" t="s">
        <v>399</v>
      </c>
      <c r="H134" s="6">
        <v>44532</v>
      </c>
      <c r="I134" s="6">
        <v>44547</v>
      </c>
      <c r="J134" s="4">
        <v>17369.82</v>
      </c>
      <c r="K134">
        <f t="shared" si="7"/>
        <v>15</v>
      </c>
      <c r="L134">
        <f t="shared" si="6"/>
        <v>51</v>
      </c>
      <c r="M134" t="str">
        <f t="shared" si="8"/>
        <v>Adults</v>
      </c>
    </row>
    <row r="135" spans="1:13" x14ac:dyDescent="0.25">
      <c r="A135" t="s">
        <v>400</v>
      </c>
      <c r="B135" t="s">
        <v>401</v>
      </c>
      <c r="C135" s="6">
        <v>33180</v>
      </c>
      <c r="D135" t="s">
        <v>11</v>
      </c>
      <c r="E135" t="s">
        <v>120</v>
      </c>
      <c r="F135" t="s">
        <v>103</v>
      </c>
      <c r="G135" t="s">
        <v>121</v>
      </c>
      <c r="H135" s="6">
        <v>44532</v>
      </c>
      <c r="I135" s="6">
        <v>44558</v>
      </c>
      <c r="J135" s="4">
        <v>1725.45</v>
      </c>
      <c r="K135">
        <f t="shared" si="7"/>
        <v>26</v>
      </c>
      <c r="L135">
        <f t="shared" si="6"/>
        <v>31</v>
      </c>
      <c r="M135" t="str">
        <f t="shared" si="8"/>
        <v>Adults</v>
      </c>
    </row>
    <row r="136" spans="1:13" x14ac:dyDescent="0.25">
      <c r="A136" t="s">
        <v>402</v>
      </c>
      <c r="B136" t="s">
        <v>403</v>
      </c>
      <c r="C136" s="6">
        <v>41112</v>
      </c>
      <c r="D136" t="s">
        <v>27</v>
      </c>
      <c r="E136" t="s">
        <v>120</v>
      </c>
      <c r="F136" t="s">
        <v>103</v>
      </c>
      <c r="G136" t="s">
        <v>306</v>
      </c>
      <c r="H136" s="6">
        <v>44536</v>
      </c>
      <c r="I136" s="6">
        <v>44562</v>
      </c>
      <c r="J136" s="4">
        <v>973.68</v>
      </c>
      <c r="K136">
        <f t="shared" si="7"/>
        <v>26</v>
      </c>
      <c r="L136">
        <f t="shared" si="6"/>
        <v>9</v>
      </c>
      <c r="M136" t="str">
        <f t="shared" si="8"/>
        <v>Children and Adolescent</v>
      </c>
    </row>
    <row r="137" spans="1:13" x14ac:dyDescent="0.25">
      <c r="A137" t="s">
        <v>404</v>
      </c>
      <c r="B137" t="s">
        <v>405</v>
      </c>
      <c r="C137" s="6">
        <v>24816</v>
      </c>
      <c r="D137" t="s">
        <v>11</v>
      </c>
      <c r="E137" t="s">
        <v>138</v>
      </c>
      <c r="F137" t="s">
        <v>110</v>
      </c>
      <c r="G137" t="s">
        <v>146</v>
      </c>
      <c r="H137" s="6">
        <v>44537</v>
      </c>
      <c r="I137" s="6">
        <v>44566</v>
      </c>
      <c r="J137" s="4">
        <v>2648.45</v>
      </c>
      <c r="K137">
        <f t="shared" si="7"/>
        <v>29</v>
      </c>
      <c r="L137">
        <f t="shared" si="6"/>
        <v>53</v>
      </c>
      <c r="M137" t="str">
        <f t="shared" si="8"/>
        <v>Adults</v>
      </c>
    </row>
    <row r="138" spans="1:13" x14ac:dyDescent="0.25">
      <c r="A138" t="s">
        <v>406</v>
      </c>
      <c r="B138" t="s">
        <v>407</v>
      </c>
      <c r="C138" s="6">
        <v>19602</v>
      </c>
      <c r="D138" t="s">
        <v>27</v>
      </c>
      <c r="E138" t="s">
        <v>302</v>
      </c>
      <c r="F138" t="s">
        <v>13</v>
      </c>
      <c r="G138" t="s">
        <v>408</v>
      </c>
      <c r="H138" s="6">
        <v>44539</v>
      </c>
      <c r="I138" s="6">
        <v>44553</v>
      </c>
      <c r="J138" s="4">
        <v>6707.59</v>
      </c>
      <c r="K138">
        <f t="shared" si="7"/>
        <v>14</v>
      </c>
      <c r="L138">
        <f t="shared" si="6"/>
        <v>68</v>
      </c>
      <c r="M138" t="str">
        <f t="shared" si="8"/>
        <v>Older Adults</v>
      </c>
    </row>
    <row r="139" spans="1:13" x14ac:dyDescent="0.25">
      <c r="A139" t="s">
        <v>409</v>
      </c>
      <c r="B139" t="s">
        <v>410</v>
      </c>
      <c r="C139" s="6">
        <v>17371</v>
      </c>
      <c r="D139" t="s">
        <v>11</v>
      </c>
      <c r="E139" t="s">
        <v>127</v>
      </c>
      <c r="F139" t="s">
        <v>114</v>
      </c>
      <c r="G139" t="s">
        <v>24</v>
      </c>
      <c r="H139" s="6">
        <v>44541</v>
      </c>
      <c r="I139" s="6">
        <v>44553</v>
      </c>
      <c r="J139" s="4">
        <v>1080.8699999999999</v>
      </c>
      <c r="K139">
        <f t="shared" si="7"/>
        <v>12</v>
      </c>
      <c r="L139">
        <f t="shared" si="6"/>
        <v>74</v>
      </c>
      <c r="M139" t="str">
        <f t="shared" si="8"/>
        <v>Older Adults</v>
      </c>
    </row>
    <row r="140" spans="1:13" x14ac:dyDescent="0.25">
      <c r="A140" t="s">
        <v>411</v>
      </c>
      <c r="B140" t="s">
        <v>412</v>
      </c>
      <c r="C140" s="6">
        <v>43860</v>
      </c>
      <c r="D140" t="s">
        <v>11</v>
      </c>
      <c r="E140" t="s">
        <v>47</v>
      </c>
      <c r="F140" t="s">
        <v>29</v>
      </c>
      <c r="G140" t="s">
        <v>243</v>
      </c>
      <c r="H140" s="6">
        <v>44544</v>
      </c>
      <c r="I140" s="6">
        <v>44553</v>
      </c>
      <c r="J140" s="4">
        <v>8441.2099999999991</v>
      </c>
      <c r="K140">
        <f t="shared" si="7"/>
        <v>9</v>
      </c>
      <c r="L140">
        <f t="shared" si="6"/>
        <v>1</v>
      </c>
      <c r="M140" t="str">
        <f t="shared" si="8"/>
        <v>Early childhood</v>
      </c>
    </row>
    <row r="141" spans="1:13" x14ac:dyDescent="0.25">
      <c r="A141" t="s">
        <v>413</v>
      </c>
      <c r="B141" t="s">
        <v>414</v>
      </c>
      <c r="C141" s="6">
        <v>39160</v>
      </c>
      <c r="D141" t="s">
        <v>11</v>
      </c>
      <c r="E141" t="s">
        <v>22</v>
      </c>
      <c r="F141" t="s">
        <v>23</v>
      </c>
      <c r="G141" t="s">
        <v>107</v>
      </c>
      <c r="H141" s="6">
        <v>44545</v>
      </c>
      <c r="I141" s="6">
        <v>44559</v>
      </c>
      <c r="J141" s="4">
        <v>1450.62</v>
      </c>
      <c r="K141">
        <f t="shared" si="7"/>
        <v>14</v>
      </c>
      <c r="L141">
        <f t="shared" si="6"/>
        <v>14</v>
      </c>
      <c r="M141" t="str">
        <f t="shared" si="8"/>
        <v>Children and Adolescent</v>
      </c>
    </row>
    <row r="142" spans="1:13" x14ac:dyDescent="0.25">
      <c r="A142" t="s">
        <v>415</v>
      </c>
      <c r="B142" t="s">
        <v>416</v>
      </c>
      <c r="C142" s="6">
        <v>17730</v>
      </c>
      <c r="D142" t="s">
        <v>11</v>
      </c>
      <c r="E142" t="s">
        <v>65</v>
      </c>
      <c r="F142" t="s">
        <v>23</v>
      </c>
      <c r="G142" t="s">
        <v>346</v>
      </c>
      <c r="H142" s="6">
        <v>44545</v>
      </c>
      <c r="I142" s="6">
        <v>44567</v>
      </c>
      <c r="J142" s="4">
        <v>259.89</v>
      </c>
      <c r="K142">
        <f t="shared" si="7"/>
        <v>22</v>
      </c>
      <c r="L142">
        <f t="shared" si="6"/>
        <v>73</v>
      </c>
      <c r="M142" t="str">
        <f t="shared" si="8"/>
        <v>Older Adults</v>
      </c>
    </row>
    <row r="143" spans="1:13" x14ac:dyDescent="0.25">
      <c r="A143" t="s">
        <v>417</v>
      </c>
      <c r="B143" t="s">
        <v>418</v>
      </c>
      <c r="C143" s="6">
        <v>11049</v>
      </c>
      <c r="D143" t="s">
        <v>27</v>
      </c>
      <c r="E143" t="s">
        <v>17</v>
      </c>
      <c r="F143" t="s">
        <v>34</v>
      </c>
      <c r="G143" t="s">
        <v>135</v>
      </c>
      <c r="H143" s="6">
        <v>44546</v>
      </c>
      <c r="I143" s="6">
        <v>44569</v>
      </c>
      <c r="J143" s="4">
        <v>855.3</v>
      </c>
      <c r="K143">
        <f t="shared" si="7"/>
        <v>23</v>
      </c>
      <c r="L143">
        <f t="shared" si="6"/>
        <v>91</v>
      </c>
      <c r="M143" t="str">
        <f t="shared" si="8"/>
        <v>Older Adults</v>
      </c>
    </row>
    <row r="144" spans="1:13" x14ac:dyDescent="0.25">
      <c r="A144" t="s">
        <v>419</v>
      </c>
      <c r="B144" t="s">
        <v>420</v>
      </c>
      <c r="C144" s="6">
        <v>18000</v>
      </c>
      <c r="D144" t="s">
        <v>27</v>
      </c>
      <c r="E144" t="s">
        <v>92</v>
      </c>
      <c r="F144" t="s">
        <v>13</v>
      </c>
      <c r="G144" t="s">
        <v>421</v>
      </c>
      <c r="H144" s="6">
        <v>44547</v>
      </c>
      <c r="I144" s="6">
        <v>44568</v>
      </c>
      <c r="J144" s="4">
        <v>1259.94</v>
      </c>
      <c r="K144">
        <f t="shared" si="7"/>
        <v>21</v>
      </c>
      <c r="L144">
        <f t="shared" si="6"/>
        <v>72</v>
      </c>
      <c r="M144" t="str">
        <f t="shared" si="8"/>
        <v>Older Adults</v>
      </c>
    </row>
    <row r="145" spans="1:13" x14ac:dyDescent="0.25">
      <c r="A145" t="s">
        <v>422</v>
      </c>
      <c r="B145" t="s">
        <v>423</v>
      </c>
      <c r="C145" s="6">
        <v>26835</v>
      </c>
      <c r="D145" t="s">
        <v>27</v>
      </c>
      <c r="E145" t="s">
        <v>47</v>
      </c>
      <c r="F145" t="s">
        <v>29</v>
      </c>
      <c r="G145" t="s">
        <v>243</v>
      </c>
      <c r="H145" s="6">
        <v>44548</v>
      </c>
      <c r="I145" s="6">
        <v>44577</v>
      </c>
      <c r="J145" s="4">
        <v>4090.35</v>
      </c>
      <c r="K145">
        <f t="shared" si="7"/>
        <v>29</v>
      </c>
      <c r="L145">
        <f t="shared" si="6"/>
        <v>48</v>
      </c>
      <c r="M145" t="str">
        <f t="shared" si="8"/>
        <v>Adults</v>
      </c>
    </row>
    <row r="146" spans="1:13" x14ac:dyDescent="0.25">
      <c r="A146" t="s">
        <v>424</v>
      </c>
      <c r="B146" t="s">
        <v>425</v>
      </c>
      <c r="C146" s="6">
        <v>44618</v>
      </c>
      <c r="D146" t="s">
        <v>11</v>
      </c>
      <c r="E146" t="s">
        <v>84</v>
      </c>
      <c r="F146" t="s">
        <v>426</v>
      </c>
      <c r="G146" t="s">
        <v>238</v>
      </c>
      <c r="H146" s="6">
        <v>44550</v>
      </c>
      <c r="I146" s="6">
        <v>44573</v>
      </c>
      <c r="J146" s="4">
        <v>2473.17</v>
      </c>
      <c r="K146">
        <f t="shared" si="7"/>
        <v>23</v>
      </c>
      <c r="L146" t="str">
        <f t="shared" si="6"/>
        <v>Invalid DOB</v>
      </c>
      <c r="M146" t="str">
        <f t="shared" si="8"/>
        <v>Invalid DOB</v>
      </c>
    </row>
    <row r="147" spans="1:13" x14ac:dyDescent="0.25">
      <c r="A147" t="s">
        <v>427</v>
      </c>
      <c r="B147" t="s">
        <v>428</v>
      </c>
      <c r="C147" s="6">
        <v>17622</v>
      </c>
      <c r="D147" t="s">
        <v>11</v>
      </c>
      <c r="E147" t="s">
        <v>33</v>
      </c>
      <c r="F147" t="s">
        <v>34</v>
      </c>
      <c r="G147" t="s">
        <v>378</v>
      </c>
      <c r="H147" s="6">
        <v>44551</v>
      </c>
      <c r="I147" s="6">
        <v>44579</v>
      </c>
      <c r="J147" s="4">
        <v>4908.09</v>
      </c>
      <c r="K147">
        <f t="shared" si="7"/>
        <v>28</v>
      </c>
      <c r="L147">
        <f t="shared" si="6"/>
        <v>73</v>
      </c>
      <c r="M147" t="str">
        <f t="shared" si="8"/>
        <v>Older Adults</v>
      </c>
    </row>
    <row r="148" spans="1:13" x14ac:dyDescent="0.25">
      <c r="A148" t="s">
        <v>429</v>
      </c>
      <c r="B148" t="s">
        <v>430</v>
      </c>
      <c r="C148" s="6">
        <v>35960</v>
      </c>
      <c r="D148" t="s">
        <v>27</v>
      </c>
      <c r="E148" t="s">
        <v>60</v>
      </c>
      <c r="F148" t="s">
        <v>188</v>
      </c>
      <c r="G148" t="s">
        <v>149</v>
      </c>
      <c r="H148" s="6">
        <v>44552</v>
      </c>
      <c r="I148" s="6">
        <v>44580</v>
      </c>
      <c r="J148" s="4">
        <v>60079.35</v>
      </c>
      <c r="K148">
        <f t="shared" si="7"/>
        <v>28</v>
      </c>
      <c r="L148">
        <f t="shared" si="6"/>
        <v>23</v>
      </c>
      <c r="M148" t="str">
        <f t="shared" si="8"/>
        <v>Young Adults</v>
      </c>
    </row>
    <row r="149" spans="1:13" x14ac:dyDescent="0.25">
      <c r="A149" t="s">
        <v>431</v>
      </c>
      <c r="B149" t="s">
        <v>432</v>
      </c>
      <c r="C149" s="6">
        <v>16717</v>
      </c>
      <c r="D149" t="s">
        <v>11</v>
      </c>
      <c r="E149" t="s">
        <v>178</v>
      </c>
      <c r="F149" t="s">
        <v>433</v>
      </c>
      <c r="G149" t="s">
        <v>434</v>
      </c>
      <c r="H149" s="6">
        <v>44554</v>
      </c>
      <c r="I149" s="6">
        <v>44561</v>
      </c>
      <c r="J149" s="4">
        <v>2415.35</v>
      </c>
      <c r="K149">
        <f t="shared" si="7"/>
        <v>7</v>
      </c>
      <c r="L149">
        <f t="shared" si="6"/>
        <v>76</v>
      </c>
      <c r="M149" t="str">
        <f t="shared" si="8"/>
        <v>Older Adults</v>
      </c>
    </row>
    <row r="150" spans="1:13" x14ac:dyDescent="0.25">
      <c r="A150" t="s">
        <v>435</v>
      </c>
      <c r="B150" t="s">
        <v>436</v>
      </c>
      <c r="C150" s="6">
        <v>33753</v>
      </c>
      <c r="D150" t="s">
        <v>27</v>
      </c>
      <c r="E150" t="s">
        <v>281</v>
      </c>
      <c r="F150" t="s">
        <v>13</v>
      </c>
      <c r="G150" t="s">
        <v>437</v>
      </c>
      <c r="H150" s="6">
        <v>44555</v>
      </c>
      <c r="I150" s="6">
        <v>44581</v>
      </c>
      <c r="J150" s="4">
        <v>40665.660000000003</v>
      </c>
      <c r="K150">
        <f t="shared" si="7"/>
        <v>26</v>
      </c>
      <c r="L150">
        <f t="shared" si="6"/>
        <v>29</v>
      </c>
      <c r="M150" t="str">
        <f t="shared" si="8"/>
        <v>Adults</v>
      </c>
    </row>
    <row r="151" spans="1:13" x14ac:dyDescent="0.25">
      <c r="A151" t="s">
        <v>438</v>
      </c>
      <c r="B151" t="s">
        <v>439</v>
      </c>
      <c r="C151" s="6">
        <v>11321</v>
      </c>
      <c r="D151" t="s">
        <v>11</v>
      </c>
      <c r="E151" t="s">
        <v>28</v>
      </c>
      <c r="F151" t="s">
        <v>43</v>
      </c>
      <c r="G151" t="s">
        <v>30</v>
      </c>
      <c r="H151" s="6">
        <v>44557</v>
      </c>
      <c r="I151" s="6">
        <v>44572</v>
      </c>
      <c r="J151" s="4">
        <v>10847.14</v>
      </c>
      <c r="K151">
        <f t="shared" si="7"/>
        <v>15</v>
      </c>
      <c r="L151">
        <f t="shared" si="6"/>
        <v>90</v>
      </c>
      <c r="M151" t="str">
        <f t="shared" si="8"/>
        <v>Older Adults</v>
      </c>
    </row>
    <row r="152" spans="1:13" x14ac:dyDescent="0.25">
      <c r="A152" t="s">
        <v>440</v>
      </c>
      <c r="B152" t="s">
        <v>441</v>
      </c>
      <c r="C152" s="6">
        <v>17344</v>
      </c>
      <c r="D152" t="s">
        <v>27</v>
      </c>
      <c r="E152" t="s">
        <v>17</v>
      </c>
      <c r="F152" t="s">
        <v>34</v>
      </c>
      <c r="G152" t="s">
        <v>19</v>
      </c>
      <c r="H152" s="6">
        <v>44558</v>
      </c>
      <c r="I152" s="6">
        <v>44582</v>
      </c>
      <c r="J152" s="4">
        <v>2371.3200000000002</v>
      </c>
      <c r="K152">
        <f t="shared" si="7"/>
        <v>24</v>
      </c>
      <c r="L152">
        <f t="shared" si="6"/>
        <v>74</v>
      </c>
      <c r="M152" t="str">
        <f t="shared" si="8"/>
        <v>Older Adults</v>
      </c>
    </row>
    <row r="153" spans="1:13" x14ac:dyDescent="0.25">
      <c r="A153" t="s">
        <v>442</v>
      </c>
      <c r="B153" t="s">
        <v>443</v>
      </c>
      <c r="C153" s="6">
        <v>39746</v>
      </c>
      <c r="D153" t="s">
        <v>27</v>
      </c>
      <c r="E153" t="s">
        <v>80</v>
      </c>
      <c r="F153" t="s">
        <v>13</v>
      </c>
      <c r="G153" t="s">
        <v>444</v>
      </c>
      <c r="H153" s="6">
        <v>44558</v>
      </c>
      <c r="I153" s="6">
        <v>44565</v>
      </c>
      <c r="J153" s="4">
        <v>12614.47</v>
      </c>
      <c r="K153">
        <f t="shared" si="7"/>
        <v>7</v>
      </c>
      <c r="L153">
        <f t="shared" si="6"/>
        <v>13</v>
      </c>
      <c r="M153" t="str">
        <f t="shared" si="8"/>
        <v>Children and Adolescent</v>
      </c>
    </row>
    <row r="154" spans="1:13" x14ac:dyDescent="0.25">
      <c r="A154" t="s">
        <v>445</v>
      </c>
      <c r="B154" t="s">
        <v>446</v>
      </c>
      <c r="C154" s="6">
        <v>10127</v>
      </c>
      <c r="D154" t="s">
        <v>11</v>
      </c>
      <c r="E154" t="s">
        <v>138</v>
      </c>
      <c r="F154" t="s">
        <v>110</v>
      </c>
      <c r="G154" t="s">
        <v>143</v>
      </c>
      <c r="H154" s="6">
        <v>44558</v>
      </c>
      <c r="I154" s="6">
        <v>44560</v>
      </c>
      <c r="J154" s="4">
        <v>1334.9</v>
      </c>
      <c r="K154">
        <f t="shared" si="7"/>
        <v>2</v>
      </c>
      <c r="L154">
        <f t="shared" si="6"/>
        <v>94</v>
      </c>
      <c r="M154" t="str">
        <f t="shared" si="8"/>
        <v>Older Adults</v>
      </c>
    </row>
    <row r="155" spans="1:13" x14ac:dyDescent="0.25">
      <c r="A155" t="s">
        <v>447</v>
      </c>
      <c r="B155" t="s">
        <v>448</v>
      </c>
      <c r="C155" s="6">
        <v>18297</v>
      </c>
      <c r="D155" t="s">
        <v>27</v>
      </c>
      <c r="E155" t="s">
        <v>33</v>
      </c>
      <c r="F155" t="s">
        <v>13</v>
      </c>
      <c r="G155" t="s">
        <v>35</v>
      </c>
      <c r="H155" s="6">
        <v>44560</v>
      </c>
      <c r="I155" s="6">
        <v>44577</v>
      </c>
      <c r="J155" s="4">
        <v>4925.04</v>
      </c>
      <c r="K155">
        <f t="shared" si="7"/>
        <v>17</v>
      </c>
      <c r="L155">
        <f t="shared" si="6"/>
        <v>71</v>
      </c>
      <c r="M155" t="str">
        <f t="shared" si="8"/>
        <v>Older Adults</v>
      </c>
    </row>
    <row r="156" spans="1:13" x14ac:dyDescent="0.25">
      <c r="A156" t="s">
        <v>449</v>
      </c>
      <c r="B156" t="s">
        <v>450</v>
      </c>
      <c r="C156" s="6">
        <v>26151</v>
      </c>
      <c r="D156" t="s">
        <v>11</v>
      </c>
      <c r="E156" t="s">
        <v>92</v>
      </c>
      <c r="F156" t="s">
        <v>13</v>
      </c>
      <c r="G156" t="s">
        <v>296</v>
      </c>
      <c r="H156" s="6">
        <v>44561</v>
      </c>
      <c r="I156" s="6">
        <v>44575</v>
      </c>
      <c r="J156" s="4">
        <v>769.7</v>
      </c>
      <c r="K156">
        <f t="shared" si="7"/>
        <v>14</v>
      </c>
      <c r="L156">
        <f t="shared" si="6"/>
        <v>50</v>
      </c>
      <c r="M156" t="str">
        <f t="shared" si="8"/>
        <v>Adults</v>
      </c>
    </row>
    <row r="157" spans="1:13" x14ac:dyDescent="0.25">
      <c r="A157" t="s">
        <v>451</v>
      </c>
      <c r="B157" t="s">
        <v>452</v>
      </c>
      <c r="C157" s="6">
        <v>31340</v>
      </c>
      <c r="D157" t="s">
        <v>27</v>
      </c>
      <c r="E157" t="s">
        <v>178</v>
      </c>
      <c r="F157" t="s">
        <v>433</v>
      </c>
      <c r="G157" t="s">
        <v>434</v>
      </c>
      <c r="H157" s="6">
        <v>44562</v>
      </c>
      <c r="I157" s="6">
        <v>44567</v>
      </c>
      <c r="J157" s="4">
        <v>1624.05</v>
      </c>
      <c r="K157">
        <f t="shared" si="7"/>
        <v>5</v>
      </c>
      <c r="L157">
        <f t="shared" si="6"/>
        <v>36</v>
      </c>
      <c r="M157" t="str">
        <f t="shared" si="8"/>
        <v>Adults</v>
      </c>
    </row>
    <row r="158" spans="1:13" x14ac:dyDescent="0.25">
      <c r="A158" t="s">
        <v>453</v>
      </c>
      <c r="B158" t="s">
        <v>454</v>
      </c>
      <c r="C158" s="6">
        <v>41447</v>
      </c>
      <c r="D158" t="s">
        <v>11</v>
      </c>
      <c r="E158" t="s">
        <v>84</v>
      </c>
      <c r="F158" t="s">
        <v>85</v>
      </c>
      <c r="G158" t="s">
        <v>254</v>
      </c>
      <c r="H158" s="6">
        <v>44563</v>
      </c>
      <c r="I158" s="6">
        <v>44581</v>
      </c>
      <c r="J158" s="4">
        <v>2125.5100000000002</v>
      </c>
      <c r="K158">
        <f t="shared" si="7"/>
        <v>18</v>
      </c>
      <c r="L158">
        <f t="shared" si="6"/>
        <v>8</v>
      </c>
      <c r="M158" t="str">
        <f t="shared" si="8"/>
        <v>Children and Adolescent</v>
      </c>
    </row>
    <row r="159" spans="1:13" x14ac:dyDescent="0.25">
      <c r="A159" t="s">
        <v>455</v>
      </c>
      <c r="B159" t="s">
        <v>456</v>
      </c>
      <c r="C159" s="6">
        <v>42088</v>
      </c>
      <c r="D159" t="s">
        <v>27</v>
      </c>
      <c r="E159" t="s">
        <v>97</v>
      </c>
      <c r="F159" t="s">
        <v>98</v>
      </c>
      <c r="G159" t="s">
        <v>99</v>
      </c>
      <c r="H159" s="6">
        <v>44563</v>
      </c>
      <c r="I159" s="6">
        <v>44565</v>
      </c>
      <c r="J159" s="4">
        <v>363.31</v>
      </c>
      <c r="K159">
        <f t="shared" si="7"/>
        <v>2</v>
      </c>
      <c r="L159">
        <f t="shared" si="6"/>
        <v>6</v>
      </c>
      <c r="M159" t="str">
        <f t="shared" si="8"/>
        <v>Children and Adolescent</v>
      </c>
    </row>
    <row r="160" spans="1:13" x14ac:dyDescent="0.25">
      <c r="A160" t="s">
        <v>457</v>
      </c>
      <c r="B160" t="s">
        <v>458</v>
      </c>
      <c r="C160" s="6">
        <v>13146</v>
      </c>
      <c r="D160" t="s">
        <v>11</v>
      </c>
      <c r="E160" t="s">
        <v>84</v>
      </c>
      <c r="F160" t="s">
        <v>85</v>
      </c>
      <c r="G160" t="s">
        <v>19</v>
      </c>
      <c r="H160" s="6">
        <v>44565</v>
      </c>
      <c r="I160" s="6">
        <v>44582</v>
      </c>
      <c r="J160" s="4">
        <v>1604.15</v>
      </c>
      <c r="K160">
        <f t="shared" si="7"/>
        <v>17</v>
      </c>
      <c r="L160">
        <f t="shared" si="6"/>
        <v>86</v>
      </c>
      <c r="M160" t="str">
        <f t="shared" si="8"/>
        <v>Older Adults</v>
      </c>
    </row>
    <row r="161" spans="1:13" x14ac:dyDescent="0.25">
      <c r="A161" t="s">
        <v>459</v>
      </c>
      <c r="B161" t="s">
        <v>460</v>
      </c>
      <c r="C161" s="6">
        <v>15344</v>
      </c>
      <c r="D161" t="s">
        <v>27</v>
      </c>
      <c r="E161" t="s">
        <v>60</v>
      </c>
      <c r="F161" t="s">
        <v>88</v>
      </c>
      <c r="G161" t="s">
        <v>62</v>
      </c>
      <c r="H161" s="6">
        <v>44566</v>
      </c>
      <c r="I161" s="6">
        <v>44585</v>
      </c>
      <c r="J161" s="4">
        <v>42818.23</v>
      </c>
      <c r="K161">
        <f t="shared" si="7"/>
        <v>19</v>
      </c>
      <c r="L161">
        <f t="shared" si="6"/>
        <v>80</v>
      </c>
      <c r="M161" t="str">
        <f t="shared" si="8"/>
        <v>Older Adults</v>
      </c>
    </row>
    <row r="162" spans="1:13" x14ac:dyDescent="0.25">
      <c r="A162" t="s">
        <v>461</v>
      </c>
      <c r="B162" t="s">
        <v>462</v>
      </c>
      <c r="C162" s="6">
        <v>43333</v>
      </c>
      <c r="D162" t="s">
        <v>27</v>
      </c>
      <c r="E162" t="s">
        <v>102</v>
      </c>
      <c r="F162" t="s">
        <v>103</v>
      </c>
      <c r="G162" t="s">
        <v>104</v>
      </c>
      <c r="H162" s="6">
        <v>44570</v>
      </c>
      <c r="I162" s="6">
        <v>44597</v>
      </c>
      <c r="J162" s="4">
        <v>48070.1</v>
      </c>
      <c r="K162">
        <f t="shared" si="7"/>
        <v>27</v>
      </c>
      <c r="L162">
        <f t="shared" si="6"/>
        <v>3</v>
      </c>
      <c r="M162" t="str">
        <f t="shared" si="8"/>
        <v>Early childhood</v>
      </c>
    </row>
    <row r="163" spans="1:13" x14ac:dyDescent="0.25">
      <c r="A163" t="s">
        <v>463</v>
      </c>
      <c r="B163" t="s">
        <v>464</v>
      </c>
      <c r="C163" s="6">
        <v>12490</v>
      </c>
      <c r="D163" t="s">
        <v>11</v>
      </c>
      <c r="E163" t="s">
        <v>187</v>
      </c>
      <c r="F163" t="s">
        <v>188</v>
      </c>
      <c r="G163" t="s">
        <v>189</v>
      </c>
      <c r="H163" s="6">
        <v>44571</v>
      </c>
      <c r="I163" s="6">
        <v>44593</v>
      </c>
      <c r="J163" s="4">
        <v>11314.16</v>
      </c>
      <c r="K163">
        <f t="shared" si="7"/>
        <v>22</v>
      </c>
      <c r="L163">
        <f t="shared" si="6"/>
        <v>87</v>
      </c>
      <c r="M163" t="str">
        <f t="shared" si="8"/>
        <v>Older Adults</v>
      </c>
    </row>
    <row r="164" spans="1:13" x14ac:dyDescent="0.25">
      <c r="A164" t="s">
        <v>465</v>
      </c>
      <c r="B164" t="s">
        <v>466</v>
      </c>
      <c r="C164" s="6">
        <v>21358</v>
      </c>
      <c r="D164" t="s">
        <v>27</v>
      </c>
      <c r="E164" t="s">
        <v>302</v>
      </c>
      <c r="F164" t="s">
        <v>13</v>
      </c>
      <c r="G164" t="s">
        <v>303</v>
      </c>
      <c r="H164" s="6">
        <v>44572</v>
      </c>
      <c r="I164" s="6">
        <v>44578</v>
      </c>
      <c r="J164" s="4">
        <v>7656.3</v>
      </c>
      <c r="K164">
        <f t="shared" si="7"/>
        <v>6</v>
      </c>
      <c r="L164">
        <f t="shared" si="6"/>
        <v>63</v>
      </c>
      <c r="M164" t="str">
        <f t="shared" si="8"/>
        <v>Older Adults</v>
      </c>
    </row>
    <row r="165" spans="1:13" x14ac:dyDescent="0.25">
      <c r="A165" t="s">
        <v>467</v>
      </c>
      <c r="B165" t="s">
        <v>468</v>
      </c>
      <c r="C165" s="6">
        <v>20835</v>
      </c>
      <c r="D165" t="s">
        <v>11</v>
      </c>
      <c r="E165" t="s">
        <v>138</v>
      </c>
      <c r="F165" t="s">
        <v>110</v>
      </c>
      <c r="G165" t="s">
        <v>146</v>
      </c>
      <c r="H165" s="6">
        <v>44572</v>
      </c>
      <c r="I165" s="6">
        <v>44578</v>
      </c>
      <c r="J165" s="4">
        <v>2979.37</v>
      </c>
      <c r="K165">
        <f t="shared" si="7"/>
        <v>6</v>
      </c>
      <c r="L165">
        <f t="shared" si="6"/>
        <v>64</v>
      </c>
      <c r="M165" t="str">
        <f t="shared" si="8"/>
        <v>Older Adults</v>
      </c>
    </row>
    <row r="166" spans="1:13" x14ac:dyDescent="0.25">
      <c r="A166" t="s">
        <v>469</v>
      </c>
      <c r="B166" t="s">
        <v>470</v>
      </c>
      <c r="C166" s="6">
        <v>31254</v>
      </c>
      <c r="D166" t="s">
        <v>11</v>
      </c>
      <c r="E166" t="s">
        <v>17</v>
      </c>
      <c r="F166" t="s">
        <v>18</v>
      </c>
      <c r="G166" t="s">
        <v>19</v>
      </c>
      <c r="H166" s="6">
        <v>44573</v>
      </c>
      <c r="I166" s="6">
        <v>44597</v>
      </c>
      <c r="J166" s="4">
        <v>2028.07</v>
      </c>
      <c r="K166">
        <f t="shared" si="7"/>
        <v>24</v>
      </c>
      <c r="L166">
        <f t="shared" si="6"/>
        <v>36</v>
      </c>
      <c r="M166" t="str">
        <f t="shared" si="8"/>
        <v>Adults</v>
      </c>
    </row>
    <row r="167" spans="1:13" x14ac:dyDescent="0.25">
      <c r="A167" t="s">
        <v>471</v>
      </c>
      <c r="B167" t="s">
        <v>472</v>
      </c>
      <c r="C167" s="6">
        <v>17293</v>
      </c>
      <c r="D167" t="s">
        <v>11</v>
      </c>
      <c r="E167" t="s">
        <v>51</v>
      </c>
      <c r="F167" t="s">
        <v>13</v>
      </c>
      <c r="G167" t="s">
        <v>473</v>
      </c>
      <c r="H167" s="6">
        <v>44573</v>
      </c>
      <c r="I167" s="6">
        <v>44597</v>
      </c>
      <c r="J167" s="4">
        <v>5746.82</v>
      </c>
      <c r="K167">
        <f t="shared" si="7"/>
        <v>24</v>
      </c>
      <c r="L167">
        <f t="shared" si="6"/>
        <v>74</v>
      </c>
      <c r="M167" t="str">
        <f t="shared" si="8"/>
        <v>Older Adults</v>
      </c>
    </row>
    <row r="168" spans="1:13" x14ac:dyDescent="0.25">
      <c r="A168" t="s">
        <v>474</v>
      </c>
      <c r="B168" t="s">
        <v>475</v>
      </c>
      <c r="C168" s="6">
        <v>40193</v>
      </c>
      <c r="D168" t="s">
        <v>27</v>
      </c>
      <c r="E168" t="s">
        <v>97</v>
      </c>
      <c r="F168" t="s">
        <v>98</v>
      </c>
      <c r="G168" t="s">
        <v>221</v>
      </c>
      <c r="H168" s="6">
        <v>44574</v>
      </c>
      <c r="I168" s="6">
        <v>44582</v>
      </c>
      <c r="J168" s="4">
        <v>218.97</v>
      </c>
      <c r="K168">
        <f t="shared" si="7"/>
        <v>8</v>
      </c>
      <c r="L168">
        <f t="shared" si="6"/>
        <v>11</v>
      </c>
      <c r="M168" t="str">
        <f t="shared" si="8"/>
        <v>Children and Adolescent</v>
      </c>
    </row>
    <row r="169" spans="1:13" x14ac:dyDescent="0.25">
      <c r="A169" t="s">
        <v>476</v>
      </c>
      <c r="B169" t="s">
        <v>477</v>
      </c>
      <c r="C169" s="6">
        <v>18524</v>
      </c>
      <c r="D169" t="s">
        <v>27</v>
      </c>
      <c r="E169" t="s">
        <v>33</v>
      </c>
      <c r="F169" t="s">
        <v>13</v>
      </c>
      <c r="G169" t="s">
        <v>478</v>
      </c>
      <c r="H169" s="6">
        <v>44575</v>
      </c>
      <c r="I169" s="6">
        <v>44582</v>
      </c>
      <c r="J169" s="4">
        <v>1200.81</v>
      </c>
      <c r="K169">
        <f t="shared" si="7"/>
        <v>7</v>
      </c>
      <c r="L169">
        <f t="shared" si="6"/>
        <v>71</v>
      </c>
      <c r="M169" t="str">
        <f t="shared" si="8"/>
        <v>Older Adults</v>
      </c>
    </row>
    <row r="170" spans="1:13" x14ac:dyDescent="0.25">
      <c r="A170" t="s">
        <v>479</v>
      </c>
      <c r="B170" t="s">
        <v>480</v>
      </c>
      <c r="C170" s="6">
        <v>37371</v>
      </c>
      <c r="D170" t="s">
        <v>11</v>
      </c>
      <c r="E170" t="s">
        <v>97</v>
      </c>
      <c r="F170" t="s">
        <v>98</v>
      </c>
      <c r="G170" t="s">
        <v>221</v>
      </c>
      <c r="H170" s="6">
        <v>44576</v>
      </c>
      <c r="I170" s="6">
        <v>44599</v>
      </c>
      <c r="J170" s="4">
        <v>688.81</v>
      </c>
      <c r="K170">
        <f t="shared" si="7"/>
        <v>23</v>
      </c>
      <c r="L170">
        <f t="shared" si="6"/>
        <v>19</v>
      </c>
      <c r="M170" t="str">
        <f t="shared" si="8"/>
        <v>Young Adults</v>
      </c>
    </row>
    <row r="171" spans="1:13" x14ac:dyDescent="0.25">
      <c r="A171" t="s">
        <v>481</v>
      </c>
      <c r="B171" t="s">
        <v>482</v>
      </c>
      <c r="C171" s="6">
        <v>23241</v>
      </c>
      <c r="D171" t="s">
        <v>11</v>
      </c>
      <c r="E171" t="s">
        <v>47</v>
      </c>
      <c r="F171" t="s">
        <v>29</v>
      </c>
      <c r="G171" t="s">
        <v>243</v>
      </c>
      <c r="H171" s="6">
        <v>44576</v>
      </c>
      <c r="I171" s="6">
        <v>44597</v>
      </c>
      <c r="J171" s="4">
        <v>5699.43</v>
      </c>
      <c r="K171">
        <f t="shared" si="7"/>
        <v>21</v>
      </c>
      <c r="L171">
        <f t="shared" si="6"/>
        <v>58</v>
      </c>
      <c r="M171" t="str">
        <f t="shared" si="8"/>
        <v>Adults</v>
      </c>
    </row>
    <row r="172" spans="1:13" x14ac:dyDescent="0.25">
      <c r="A172" t="s">
        <v>483</v>
      </c>
      <c r="B172" t="s">
        <v>484</v>
      </c>
      <c r="C172" s="6">
        <v>44394</v>
      </c>
      <c r="D172" t="s">
        <v>11</v>
      </c>
      <c r="E172" t="s">
        <v>47</v>
      </c>
      <c r="F172" t="s">
        <v>29</v>
      </c>
      <c r="G172" t="s">
        <v>341</v>
      </c>
      <c r="H172" s="6">
        <v>44577</v>
      </c>
      <c r="I172" s="6">
        <v>44597</v>
      </c>
      <c r="J172" s="4">
        <v>6582.73</v>
      </c>
      <c r="K172">
        <f t="shared" si="7"/>
        <v>20</v>
      </c>
      <c r="L172">
        <f t="shared" si="6"/>
        <v>0</v>
      </c>
      <c r="M172" t="str">
        <f t="shared" si="8"/>
        <v>Early childhood</v>
      </c>
    </row>
    <row r="173" spans="1:13" x14ac:dyDescent="0.25">
      <c r="A173" t="s">
        <v>485</v>
      </c>
      <c r="B173" t="s">
        <v>486</v>
      </c>
      <c r="C173" s="6">
        <v>35445</v>
      </c>
      <c r="D173" t="s">
        <v>27</v>
      </c>
      <c r="E173" t="s">
        <v>72</v>
      </c>
      <c r="F173" t="s">
        <v>34</v>
      </c>
      <c r="G173" t="s">
        <v>331</v>
      </c>
      <c r="H173" s="6">
        <v>44578</v>
      </c>
      <c r="I173" s="6">
        <v>44588</v>
      </c>
      <c r="J173" s="4">
        <v>4784.99</v>
      </c>
      <c r="K173">
        <f t="shared" si="7"/>
        <v>10</v>
      </c>
      <c r="L173">
        <f t="shared" si="6"/>
        <v>25</v>
      </c>
      <c r="M173" t="str">
        <f t="shared" si="8"/>
        <v>Adults</v>
      </c>
    </row>
    <row r="174" spans="1:13" x14ac:dyDescent="0.25">
      <c r="A174" t="s">
        <v>487</v>
      </c>
      <c r="B174" t="s">
        <v>488</v>
      </c>
      <c r="C174" s="6">
        <v>20339</v>
      </c>
      <c r="D174" t="s">
        <v>27</v>
      </c>
      <c r="E174" t="s">
        <v>163</v>
      </c>
      <c r="F174" t="s">
        <v>13</v>
      </c>
      <c r="G174" t="s">
        <v>233</v>
      </c>
      <c r="H174" s="6">
        <v>44579</v>
      </c>
      <c r="I174" s="6">
        <v>44588</v>
      </c>
      <c r="J174" s="4">
        <v>19565.53</v>
      </c>
      <c r="K174">
        <f t="shared" si="7"/>
        <v>9</v>
      </c>
      <c r="L174">
        <f t="shared" si="6"/>
        <v>66</v>
      </c>
      <c r="M174" t="str">
        <f t="shared" si="8"/>
        <v>Older Adults</v>
      </c>
    </row>
    <row r="175" spans="1:13" x14ac:dyDescent="0.25">
      <c r="A175" t="s">
        <v>489</v>
      </c>
      <c r="B175" t="s">
        <v>490</v>
      </c>
      <c r="C175" s="6">
        <v>16719</v>
      </c>
      <c r="D175" t="s">
        <v>11</v>
      </c>
      <c r="E175" t="s">
        <v>12</v>
      </c>
      <c r="F175" t="s">
        <v>13</v>
      </c>
      <c r="G175" t="s">
        <v>14</v>
      </c>
      <c r="H175" s="6">
        <v>44579</v>
      </c>
      <c r="I175" s="6">
        <v>44603</v>
      </c>
      <c r="J175" s="4">
        <v>18500.810000000001</v>
      </c>
      <c r="K175">
        <f t="shared" si="7"/>
        <v>24</v>
      </c>
      <c r="L175">
        <f t="shared" si="6"/>
        <v>76</v>
      </c>
      <c r="M175" t="str">
        <f t="shared" si="8"/>
        <v>Older Adults</v>
      </c>
    </row>
    <row r="176" spans="1:13" x14ac:dyDescent="0.25">
      <c r="A176" t="s">
        <v>491</v>
      </c>
      <c r="B176" t="s">
        <v>492</v>
      </c>
      <c r="C176" s="6">
        <v>13298</v>
      </c>
      <c r="D176" t="s">
        <v>11</v>
      </c>
      <c r="E176" t="s">
        <v>302</v>
      </c>
      <c r="F176" t="s">
        <v>29</v>
      </c>
      <c r="G176" t="s">
        <v>303</v>
      </c>
      <c r="H176" s="6">
        <v>44580</v>
      </c>
      <c r="I176" s="6">
        <v>44591</v>
      </c>
      <c r="J176" s="4">
        <v>11245.09</v>
      </c>
      <c r="K176">
        <f t="shared" si="7"/>
        <v>11</v>
      </c>
      <c r="L176">
        <f t="shared" si="6"/>
        <v>85</v>
      </c>
      <c r="M176" t="str">
        <f t="shared" si="8"/>
        <v>Older Adults</v>
      </c>
    </row>
    <row r="177" spans="1:13" x14ac:dyDescent="0.25">
      <c r="A177" t="s">
        <v>493</v>
      </c>
      <c r="B177" t="s">
        <v>494</v>
      </c>
      <c r="C177" s="6">
        <v>18326</v>
      </c>
      <c r="D177" t="s">
        <v>11</v>
      </c>
      <c r="E177" t="s">
        <v>187</v>
      </c>
      <c r="F177" t="s">
        <v>13</v>
      </c>
      <c r="G177" t="s">
        <v>192</v>
      </c>
      <c r="H177" s="6">
        <v>44580</v>
      </c>
      <c r="I177" s="6">
        <v>44599</v>
      </c>
      <c r="J177" s="4">
        <v>5944.73</v>
      </c>
      <c r="K177">
        <f t="shared" si="7"/>
        <v>19</v>
      </c>
      <c r="L177">
        <f t="shared" si="6"/>
        <v>71</v>
      </c>
      <c r="M177" t="str">
        <f t="shared" si="8"/>
        <v>Older Adults</v>
      </c>
    </row>
    <row r="178" spans="1:13" x14ac:dyDescent="0.25">
      <c r="A178" t="s">
        <v>495</v>
      </c>
      <c r="B178" t="s">
        <v>496</v>
      </c>
      <c r="C178" s="6">
        <v>27217</v>
      </c>
      <c r="D178" t="s">
        <v>27</v>
      </c>
      <c r="E178" t="s">
        <v>28</v>
      </c>
      <c r="F178" t="s">
        <v>29</v>
      </c>
      <c r="G178" t="s">
        <v>124</v>
      </c>
      <c r="H178" s="6">
        <v>44582</v>
      </c>
      <c r="I178" s="6">
        <v>44586</v>
      </c>
      <c r="J178" s="4">
        <v>21009.17</v>
      </c>
      <c r="K178">
        <f t="shared" si="7"/>
        <v>4</v>
      </c>
      <c r="L178">
        <f t="shared" si="6"/>
        <v>47</v>
      </c>
      <c r="M178" t="str">
        <f t="shared" si="8"/>
        <v>Adults</v>
      </c>
    </row>
    <row r="179" spans="1:13" x14ac:dyDescent="0.25">
      <c r="A179" t="s">
        <v>497</v>
      </c>
      <c r="B179" t="s">
        <v>498</v>
      </c>
      <c r="C179" s="6">
        <v>11604</v>
      </c>
      <c r="D179" t="s">
        <v>27</v>
      </c>
      <c r="E179" t="s">
        <v>28</v>
      </c>
      <c r="F179" t="s">
        <v>29</v>
      </c>
      <c r="G179" t="s">
        <v>44</v>
      </c>
      <c r="H179" s="6">
        <v>44584</v>
      </c>
      <c r="I179" s="6">
        <v>44611</v>
      </c>
      <c r="J179" s="4">
        <v>21616.2</v>
      </c>
      <c r="K179">
        <f t="shared" si="7"/>
        <v>27</v>
      </c>
      <c r="L179">
        <f t="shared" si="6"/>
        <v>90</v>
      </c>
      <c r="M179" t="str">
        <f t="shared" si="8"/>
        <v>Older Adults</v>
      </c>
    </row>
    <row r="180" spans="1:13" x14ac:dyDescent="0.25">
      <c r="A180" t="s">
        <v>499</v>
      </c>
      <c r="B180" t="s">
        <v>500</v>
      </c>
      <c r="C180" s="6">
        <v>15397</v>
      </c>
      <c r="D180" t="s">
        <v>11</v>
      </c>
      <c r="E180" t="s">
        <v>271</v>
      </c>
      <c r="F180" t="s">
        <v>272</v>
      </c>
      <c r="G180" t="s">
        <v>385</v>
      </c>
      <c r="H180" s="6">
        <v>44584</v>
      </c>
      <c r="I180" s="6">
        <v>44595</v>
      </c>
      <c r="J180" s="4">
        <v>547.85</v>
      </c>
      <c r="K180">
        <f t="shared" si="7"/>
        <v>11</v>
      </c>
      <c r="L180">
        <f t="shared" si="6"/>
        <v>79</v>
      </c>
      <c r="M180" t="str">
        <f t="shared" si="8"/>
        <v>Older Adults</v>
      </c>
    </row>
    <row r="181" spans="1:13" x14ac:dyDescent="0.25">
      <c r="A181" t="s">
        <v>501</v>
      </c>
      <c r="B181" t="s">
        <v>502</v>
      </c>
      <c r="C181" s="6">
        <v>21035</v>
      </c>
      <c r="D181" t="s">
        <v>11</v>
      </c>
      <c r="E181" t="s">
        <v>97</v>
      </c>
      <c r="F181" t="s">
        <v>98</v>
      </c>
      <c r="G181" t="s">
        <v>132</v>
      </c>
      <c r="H181" s="6">
        <v>44585</v>
      </c>
      <c r="I181" s="6">
        <v>44604</v>
      </c>
      <c r="J181" s="4">
        <v>888.47</v>
      </c>
      <c r="K181">
        <f t="shared" si="7"/>
        <v>19</v>
      </c>
      <c r="L181">
        <f t="shared" si="6"/>
        <v>64</v>
      </c>
      <c r="M181" t="str">
        <f t="shared" si="8"/>
        <v>Older Adults</v>
      </c>
    </row>
    <row r="182" spans="1:13" x14ac:dyDescent="0.25">
      <c r="A182" t="s">
        <v>503</v>
      </c>
      <c r="B182" t="s">
        <v>504</v>
      </c>
      <c r="C182" s="6">
        <v>22415</v>
      </c>
      <c r="D182" t="s">
        <v>27</v>
      </c>
      <c r="E182" t="s">
        <v>33</v>
      </c>
      <c r="F182" t="s">
        <v>34</v>
      </c>
      <c r="G182" t="s">
        <v>35</v>
      </c>
      <c r="H182" s="6">
        <v>44585</v>
      </c>
      <c r="I182" s="6">
        <v>44589</v>
      </c>
      <c r="J182" s="4">
        <v>4341.88</v>
      </c>
      <c r="K182">
        <f t="shared" si="7"/>
        <v>4</v>
      </c>
      <c r="L182">
        <f t="shared" si="6"/>
        <v>60</v>
      </c>
      <c r="M182" t="str">
        <f t="shared" si="8"/>
        <v>Older Adults</v>
      </c>
    </row>
    <row r="183" spans="1:13" x14ac:dyDescent="0.25">
      <c r="A183" t="s">
        <v>505</v>
      </c>
      <c r="B183" t="s">
        <v>506</v>
      </c>
      <c r="C183" s="6">
        <v>28596</v>
      </c>
      <c r="D183" t="s">
        <v>27</v>
      </c>
      <c r="E183" t="s">
        <v>22</v>
      </c>
      <c r="F183" t="s">
        <v>110</v>
      </c>
      <c r="G183" t="s">
        <v>24</v>
      </c>
      <c r="H183" s="6">
        <v>44589</v>
      </c>
      <c r="I183" s="6">
        <v>44615</v>
      </c>
      <c r="J183" s="4">
        <v>1311.58</v>
      </c>
      <c r="K183">
        <f t="shared" si="7"/>
        <v>26</v>
      </c>
      <c r="L183">
        <f t="shared" si="6"/>
        <v>43</v>
      </c>
      <c r="M183" t="str">
        <f t="shared" si="8"/>
        <v>Adults</v>
      </c>
    </row>
    <row r="184" spans="1:13" x14ac:dyDescent="0.25">
      <c r="A184" t="s">
        <v>507</v>
      </c>
      <c r="B184" t="s">
        <v>508</v>
      </c>
      <c r="C184" s="6">
        <v>25656</v>
      </c>
      <c r="D184" t="s">
        <v>27</v>
      </c>
      <c r="E184" t="s">
        <v>127</v>
      </c>
      <c r="F184" t="s">
        <v>509</v>
      </c>
      <c r="G184" t="s">
        <v>510</v>
      </c>
      <c r="H184" s="6">
        <v>44590</v>
      </c>
      <c r="I184" s="6">
        <v>44607</v>
      </c>
      <c r="J184" s="4">
        <v>2549.23</v>
      </c>
      <c r="K184">
        <f t="shared" si="7"/>
        <v>17</v>
      </c>
      <c r="L184">
        <f t="shared" si="6"/>
        <v>51</v>
      </c>
      <c r="M184" t="str">
        <f t="shared" si="8"/>
        <v>Adults</v>
      </c>
    </row>
    <row r="185" spans="1:13" x14ac:dyDescent="0.25">
      <c r="A185" t="s">
        <v>511</v>
      </c>
      <c r="B185" t="s">
        <v>512</v>
      </c>
      <c r="C185" s="6">
        <v>32500</v>
      </c>
      <c r="D185" t="s">
        <v>11</v>
      </c>
      <c r="E185" t="s">
        <v>271</v>
      </c>
      <c r="F185" t="s">
        <v>299</v>
      </c>
      <c r="G185" t="s">
        <v>385</v>
      </c>
      <c r="H185" s="6">
        <v>44590</v>
      </c>
      <c r="I185" s="6">
        <v>44595</v>
      </c>
      <c r="J185" s="4">
        <v>458.38</v>
      </c>
      <c r="K185">
        <f t="shared" si="7"/>
        <v>5</v>
      </c>
      <c r="L185">
        <f t="shared" si="6"/>
        <v>33</v>
      </c>
      <c r="M185" t="str">
        <f t="shared" si="8"/>
        <v>Adults</v>
      </c>
    </row>
    <row r="186" spans="1:13" x14ac:dyDescent="0.25">
      <c r="A186" t="s">
        <v>513</v>
      </c>
      <c r="B186" t="s">
        <v>514</v>
      </c>
      <c r="C186" s="6">
        <v>37579</v>
      </c>
      <c r="D186" t="s">
        <v>11</v>
      </c>
      <c r="E186" t="s">
        <v>120</v>
      </c>
      <c r="F186" t="s">
        <v>103</v>
      </c>
      <c r="G186" t="s">
        <v>515</v>
      </c>
      <c r="H186" s="6">
        <v>44591</v>
      </c>
      <c r="I186" s="6">
        <v>44612</v>
      </c>
      <c r="J186" s="4">
        <v>2681.85</v>
      </c>
      <c r="K186">
        <f t="shared" si="7"/>
        <v>21</v>
      </c>
      <c r="L186">
        <f t="shared" si="6"/>
        <v>19</v>
      </c>
      <c r="M186" t="str">
        <f t="shared" si="8"/>
        <v>Young Adults</v>
      </c>
    </row>
    <row r="187" spans="1:13" x14ac:dyDescent="0.25">
      <c r="A187" t="s">
        <v>516</v>
      </c>
      <c r="B187" t="s">
        <v>517</v>
      </c>
      <c r="C187" s="6">
        <v>21204</v>
      </c>
      <c r="D187" t="s">
        <v>27</v>
      </c>
      <c r="E187" t="s">
        <v>65</v>
      </c>
      <c r="F187" t="s">
        <v>518</v>
      </c>
      <c r="G187" t="s">
        <v>519</v>
      </c>
      <c r="H187" s="6">
        <v>44592</v>
      </c>
      <c r="I187" s="6">
        <v>44620</v>
      </c>
      <c r="J187" s="4">
        <v>203.08</v>
      </c>
      <c r="K187">
        <f t="shared" si="7"/>
        <v>28</v>
      </c>
      <c r="L187">
        <f t="shared" si="6"/>
        <v>64</v>
      </c>
      <c r="M187" t="str">
        <f t="shared" si="8"/>
        <v>Older Adults</v>
      </c>
    </row>
    <row r="188" spans="1:13" x14ac:dyDescent="0.25">
      <c r="A188" t="s">
        <v>520</v>
      </c>
      <c r="B188" t="s">
        <v>521</v>
      </c>
      <c r="C188" s="6">
        <v>28955</v>
      </c>
      <c r="D188" t="s">
        <v>27</v>
      </c>
      <c r="E188" t="s">
        <v>178</v>
      </c>
      <c r="F188" t="s">
        <v>179</v>
      </c>
      <c r="G188" t="s">
        <v>434</v>
      </c>
      <c r="H188" s="6">
        <v>44593</v>
      </c>
      <c r="I188" s="6">
        <v>44609</v>
      </c>
      <c r="J188" s="4">
        <v>1989.11</v>
      </c>
      <c r="K188">
        <f t="shared" si="7"/>
        <v>16</v>
      </c>
      <c r="L188">
        <f t="shared" si="6"/>
        <v>42</v>
      </c>
      <c r="M188" t="str">
        <f t="shared" si="8"/>
        <v>Adults</v>
      </c>
    </row>
    <row r="189" spans="1:13" x14ac:dyDescent="0.25">
      <c r="A189" t="s">
        <v>522</v>
      </c>
      <c r="B189" t="s">
        <v>523</v>
      </c>
      <c r="C189" s="6">
        <v>21883</v>
      </c>
      <c r="D189" t="s">
        <v>11</v>
      </c>
      <c r="E189" t="s">
        <v>152</v>
      </c>
      <c r="F189" t="s">
        <v>13</v>
      </c>
      <c r="G189" t="s">
        <v>195</v>
      </c>
      <c r="H189" s="6">
        <v>44594</v>
      </c>
      <c r="I189" s="6">
        <v>44621</v>
      </c>
      <c r="J189" s="4">
        <v>7143.32</v>
      </c>
      <c r="K189">
        <f t="shared" si="7"/>
        <v>27</v>
      </c>
      <c r="L189">
        <f t="shared" si="6"/>
        <v>62</v>
      </c>
      <c r="M189" t="str">
        <f t="shared" si="8"/>
        <v>Older Adults</v>
      </c>
    </row>
    <row r="190" spans="1:13" x14ac:dyDescent="0.25">
      <c r="A190" t="s">
        <v>524</v>
      </c>
      <c r="B190" t="s">
        <v>525</v>
      </c>
      <c r="C190" s="6">
        <v>9064</v>
      </c>
      <c r="D190" t="s">
        <v>11</v>
      </c>
      <c r="E190" t="s">
        <v>17</v>
      </c>
      <c r="F190" t="s">
        <v>34</v>
      </c>
      <c r="G190" t="s">
        <v>318</v>
      </c>
      <c r="H190" s="6">
        <v>44596</v>
      </c>
      <c r="I190" s="6">
        <v>44604</v>
      </c>
      <c r="J190" s="4">
        <v>595.41999999999996</v>
      </c>
      <c r="K190">
        <f t="shared" si="7"/>
        <v>8</v>
      </c>
      <c r="L190">
        <f t="shared" si="6"/>
        <v>97</v>
      </c>
      <c r="M190" t="str">
        <f t="shared" si="8"/>
        <v>Older Adults</v>
      </c>
    </row>
    <row r="191" spans="1:13" x14ac:dyDescent="0.25">
      <c r="A191" t="s">
        <v>526</v>
      </c>
      <c r="B191" t="s">
        <v>527</v>
      </c>
      <c r="C191" s="6">
        <v>26689</v>
      </c>
      <c r="D191" t="s">
        <v>11</v>
      </c>
      <c r="E191" t="s">
        <v>102</v>
      </c>
      <c r="F191" t="s">
        <v>528</v>
      </c>
      <c r="G191" t="s">
        <v>529</v>
      </c>
      <c r="H191" s="6">
        <v>44596</v>
      </c>
      <c r="I191" s="6">
        <v>44615</v>
      </c>
      <c r="J191" s="4">
        <v>18329.240000000002</v>
      </c>
      <c r="K191">
        <f t="shared" si="7"/>
        <v>19</v>
      </c>
      <c r="L191">
        <f t="shared" si="6"/>
        <v>49</v>
      </c>
      <c r="M191" t="str">
        <f t="shared" si="8"/>
        <v>Adults</v>
      </c>
    </row>
    <row r="192" spans="1:13" x14ac:dyDescent="0.25">
      <c r="A192" t="s">
        <v>530</v>
      </c>
      <c r="B192" t="s">
        <v>531</v>
      </c>
      <c r="C192" s="6">
        <v>23950</v>
      </c>
      <c r="D192" t="s">
        <v>27</v>
      </c>
      <c r="E192" t="s">
        <v>38</v>
      </c>
      <c r="F192" t="s">
        <v>13</v>
      </c>
      <c r="G192" t="s">
        <v>40</v>
      </c>
      <c r="H192" s="6">
        <v>44598</v>
      </c>
      <c r="I192" s="6">
        <v>44622</v>
      </c>
      <c r="J192" s="4">
        <v>3159.35</v>
      </c>
      <c r="K192">
        <f t="shared" si="7"/>
        <v>24</v>
      </c>
      <c r="L192">
        <f t="shared" si="6"/>
        <v>56</v>
      </c>
      <c r="M192" t="str">
        <f t="shared" si="8"/>
        <v>Adults</v>
      </c>
    </row>
    <row r="193" spans="1:13" x14ac:dyDescent="0.25">
      <c r="A193" t="s">
        <v>532</v>
      </c>
      <c r="B193" t="s">
        <v>533</v>
      </c>
      <c r="C193" s="6">
        <v>43785</v>
      </c>
      <c r="D193" t="s">
        <v>27</v>
      </c>
      <c r="E193" t="s">
        <v>120</v>
      </c>
      <c r="F193" t="s">
        <v>23</v>
      </c>
      <c r="G193" t="s">
        <v>306</v>
      </c>
      <c r="H193" s="6">
        <v>44598</v>
      </c>
      <c r="I193" s="6">
        <v>44601</v>
      </c>
      <c r="J193" s="4">
        <v>979.64</v>
      </c>
      <c r="K193">
        <f t="shared" si="7"/>
        <v>3</v>
      </c>
      <c r="L193">
        <f t="shared" si="6"/>
        <v>2</v>
      </c>
      <c r="M193" t="str">
        <f t="shared" si="8"/>
        <v>Early childhood</v>
      </c>
    </row>
    <row r="194" spans="1:13" x14ac:dyDescent="0.25">
      <c r="A194" t="s">
        <v>534</v>
      </c>
      <c r="B194" t="s">
        <v>535</v>
      </c>
      <c r="C194" s="6">
        <v>36349</v>
      </c>
      <c r="D194" t="s">
        <v>11</v>
      </c>
      <c r="E194" t="s">
        <v>72</v>
      </c>
      <c r="F194" t="s">
        <v>73</v>
      </c>
      <c r="G194" t="s">
        <v>74</v>
      </c>
      <c r="H194" s="6">
        <v>44600</v>
      </c>
      <c r="I194" s="6">
        <v>44624</v>
      </c>
      <c r="J194" s="4">
        <v>6100.03</v>
      </c>
      <c r="K194">
        <f t="shared" si="7"/>
        <v>24</v>
      </c>
      <c r="L194">
        <f t="shared" ref="L194:L257" si="9">IF(C194&gt;H194,"Invalid DOB",DATEDIF(C194,H194,"Y"))</f>
        <v>22</v>
      </c>
      <c r="M194" t="str">
        <f t="shared" si="8"/>
        <v>Young Adults</v>
      </c>
    </row>
    <row r="195" spans="1:13" x14ac:dyDescent="0.25">
      <c r="A195" t="s">
        <v>536</v>
      </c>
      <c r="B195" t="s">
        <v>537</v>
      </c>
      <c r="C195" s="6">
        <v>18441</v>
      </c>
      <c r="D195" t="s">
        <v>11</v>
      </c>
      <c r="E195" t="s">
        <v>51</v>
      </c>
      <c r="F195" t="s">
        <v>13</v>
      </c>
      <c r="G195" t="s">
        <v>52</v>
      </c>
      <c r="H195" s="6">
        <v>44600</v>
      </c>
      <c r="I195" s="6">
        <v>44605</v>
      </c>
      <c r="J195" s="4">
        <v>6372.55</v>
      </c>
      <c r="K195">
        <f t="shared" ref="K195:K258" si="10">I195-H195</f>
        <v>5</v>
      </c>
      <c r="L195">
        <f t="shared" si="9"/>
        <v>71</v>
      </c>
      <c r="M195" t="str">
        <f t="shared" ref="M195:M258" si="11">IF(L195="Invalid DOB","Invalid DOB",IF(L195&lt;=4,"Early childhood",IF(L195&lt;=17,"Children and Adolescent",IF(L195&lt;=24,"Young Adults",IF(L195&lt;=59,"Adults","Older Adults")))))</f>
        <v>Older Adults</v>
      </c>
    </row>
    <row r="196" spans="1:13" x14ac:dyDescent="0.25">
      <c r="A196" t="s">
        <v>538</v>
      </c>
      <c r="B196" t="s">
        <v>539</v>
      </c>
      <c r="C196" s="6">
        <v>35047</v>
      </c>
      <c r="D196" t="s">
        <v>11</v>
      </c>
      <c r="E196" t="s">
        <v>97</v>
      </c>
      <c r="F196" t="s">
        <v>540</v>
      </c>
      <c r="G196" t="s">
        <v>99</v>
      </c>
      <c r="H196" s="6">
        <v>44602</v>
      </c>
      <c r="I196" s="6">
        <v>44624</v>
      </c>
      <c r="J196" s="4">
        <v>677.22</v>
      </c>
      <c r="K196">
        <f t="shared" si="10"/>
        <v>22</v>
      </c>
      <c r="L196">
        <f t="shared" si="9"/>
        <v>26</v>
      </c>
      <c r="M196" t="str">
        <f t="shared" si="11"/>
        <v>Adults</v>
      </c>
    </row>
    <row r="197" spans="1:13" x14ac:dyDescent="0.25">
      <c r="A197" t="s">
        <v>541</v>
      </c>
      <c r="B197" t="s">
        <v>542</v>
      </c>
      <c r="C197" s="6">
        <v>26506</v>
      </c>
      <c r="D197" t="s">
        <v>11</v>
      </c>
      <c r="E197" t="s">
        <v>178</v>
      </c>
      <c r="F197" t="s">
        <v>433</v>
      </c>
      <c r="G197" t="s">
        <v>157</v>
      </c>
      <c r="H197" s="6">
        <v>44604</v>
      </c>
      <c r="I197" s="6">
        <v>44629</v>
      </c>
      <c r="J197" s="4">
        <v>2968.97</v>
      </c>
      <c r="K197">
        <f t="shared" si="10"/>
        <v>25</v>
      </c>
      <c r="L197">
        <f t="shared" si="9"/>
        <v>49</v>
      </c>
      <c r="M197" t="str">
        <f t="shared" si="11"/>
        <v>Adults</v>
      </c>
    </row>
    <row r="198" spans="1:13" x14ac:dyDescent="0.25">
      <c r="A198" t="s">
        <v>543</v>
      </c>
      <c r="B198" t="s">
        <v>544</v>
      </c>
      <c r="C198" s="6">
        <v>11892</v>
      </c>
      <c r="D198" t="s">
        <v>11</v>
      </c>
      <c r="E198" t="s">
        <v>178</v>
      </c>
      <c r="F198" t="s">
        <v>179</v>
      </c>
      <c r="G198" t="s">
        <v>545</v>
      </c>
      <c r="H198" s="6">
        <v>44605</v>
      </c>
      <c r="I198" s="6">
        <v>44631</v>
      </c>
      <c r="J198" s="4">
        <v>2794.2</v>
      </c>
      <c r="K198">
        <f t="shared" si="10"/>
        <v>26</v>
      </c>
      <c r="L198">
        <f t="shared" si="9"/>
        <v>89</v>
      </c>
      <c r="M198" t="str">
        <f t="shared" si="11"/>
        <v>Older Adults</v>
      </c>
    </row>
    <row r="199" spans="1:13" x14ac:dyDescent="0.25">
      <c r="A199" t="s">
        <v>546</v>
      </c>
      <c r="B199" t="s">
        <v>547</v>
      </c>
      <c r="C199" s="6">
        <v>29214</v>
      </c>
      <c r="D199" t="s">
        <v>11</v>
      </c>
      <c r="E199" t="s">
        <v>22</v>
      </c>
      <c r="F199" t="s">
        <v>23</v>
      </c>
      <c r="G199" t="s">
        <v>107</v>
      </c>
      <c r="H199" s="6">
        <v>44605</v>
      </c>
      <c r="I199" s="6">
        <v>44623</v>
      </c>
      <c r="J199" s="4">
        <v>1889</v>
      </c>
      <c r="K199">
        <f t="shared" si="10"/>
        <v>18</v>
      </c>
      <c r="L199">
        <f t="shared" si="9"/>
        <v>42</v>
      </c>
      <c r="M199" t="str">
        <f t="shared" si="11"/>
        <v>Adults</v>
      </c>
    </row>
    <row r="200" spans="1:13" x14ac:dyDescent="0.25">
      <c r="A200" t="s">
        <v>548</v>
      </c>
      <c r="B200" t="s">
        <v>549</v>
      </c>
      <c r="C200" s="6">
        <v>39306</v>
      </c>
      <c r="D200" t="s">
        <v>11</v>
      </c>
      <c r="E200" t="s">
        <v>51</v>
      </c>
      <c r="F200" t="s">
        <v>29</v>
      </c>
      <c r="G200" t="s">
        <v>52</v>
      </c>
      <c r="H200" s="6">
        <v>44605</v>
      </c>
      <c r="I200" s="6">
        <v>44617</v>
      </c>
      <c r="J200" s="4">
        <v>2307.35</v>
      </c>
      <c r="K200">
        <f t="shared" si="10"/>
        <v>12</v>
      </c>
      <c r="L200">
        <f t="shared" si="9"/>
        <v>14</v>
      </c>
      <c r="M200" t="str">
        <f t="shared" si="11"/>
        <v>Children and Adolescent</v>
      </c>
    </row>
    <row r="201" spans="1:13" x14ac:dyDescent="0.25">
      <c r="A201" t="s">
        <v>550</v>
      </c>
      <c r="B201" t="s">
        <v>551</v>
      </c>
      <c r="C201" s="6">
        <v>24093</v>
      </c>
      <c r="D201" t="s">
        <v>27</v>
      </c>
      <c r="E201" t="s">
        <v>142</v>
      </c>
      <c r="F201" t="s">
        <v>114</v>
      </c>
      <c r="G201" t="s">
        <v>143</v>
      </c>
      <c r="H201" s="6">
        <v>44607</v>
      </c>
      <c r="I201" s="6">
        <v>44608</v>
      </c>
      <c r="J201" s="4">
        <v>1251.96</v>
      </c>
      <c r="K201">
        <f t="shared" si="10"/>
        <v>1</v>
      </c>
      <c r="L201">
        <f t="shared" si="9"/>
        <v>56</v>
      </c>
      <c r="M201" t="str">
        <f t="shared" si="11"/>
        <v>Adults</v>
      </c>
    </row>
    <row r="202" spans="1:13" x14ac:dyDescent="0.25">
      <c r="A202" t="s">
        <v>552</v>
      </c>
      <c r="B202" t="s">
        <v>553</v>
      </c>
      <c r="C202" s="6">
        <v>18522</v>
      </c>
      <c r="D202" t="s">
        <v>11</v>
      </c>
      <c r="E202" t="s">
        <v>152</v>
      </c>
      <c r="F202" t="s">
        <v>56</v>
      </c>
      <c r="G202" t="s">
        <v>214</v>
      </c>
      <c r="H202" s="6">
        <v>44608</v>
      </c>
      <c r="I202" s="6">
        <v>44633</v>
      </c>
      <c r="J202" s="4">
        <v>14826.91</v>
      </c>
      <c r="K202">
        <f t="shared" si="10"/>
        <v>25</v>
      </c>
      <c r="L202">
        <f t="shared" si="9"/>
        <v>71</v>
      </c>
      <c r="M202" t="str">
        <f t="shared" si="11"/>
        <v>Older Adults</v>
      </c>
    </row>
    <row r="203" spans="1:13" x14ac:dyDescent="0.25">
      <c r="A203" t="s">
        <v>554</v>
      </c>
      <c r="B203" t="s">
        <v>555</v>
      </c>
      <c r="C203" s="6">
        <v>42827</v>
      </c>
      <c r="D203" t="s">
        <v>27</v>
      </c>
      <c r="E203" t="s">
        <v>120</v>
      </c>
      <c r="F203" t="s">
        <v>23</v>
      </c>
      <c r="G203" t="s">
        <v>121</v>
      </c>
      <c r="H203" s="6">
        <v>44610</v>
      </c>
      <c r="I203" s="6">
        <v>44621</v>
      </c>
      <c r="J203" s="4">
        <v>2932.08</v>
      </c>
      <c r="K203">
        <f t="shared" si="10"/>
        <v>11</v>
      </c>
      <c r="L203">
        <f t="shared" si="9"/>
        <v>4</v>
      </c>
      <c r="M203" t="str">
        <f t="shared" si="11"/>
        <v>Early childhood</v>
      </c>
    </row>
    <row r="204" spans="1:13" x14ac:dyDescent="0.25">
      <c r="A204" t="s">
        <v>556</v>
      </c>
      <c r="B204" t="s">
        <v>557</v>
      </c>
      <c r="C204" s="6">
        <v>19913</v>
      </c>
      <c r="D204" t="s">
        <v>27</v>
      </c>
      <c r="E204" t="s">
        <v>178</v>
      </c>
      <c r="F204" t="s">
        <v>182</v>
      </c>
      <c r="G204" t="s">
        <v>434</v>
      </c>
      <c r="H204" s="6">
        <v>44613</v>
      </c>
      <c r="I204" s="6">
        <v>44634</v>
      </c>
      <c r="J204" s="4">
        <v>1220.42</v>
      </c>
      <c r="K204">
        <f t="shared" si="10"/>
        <v>21</v>
      </c>
      <c r="L204">
        <f t="shared" si="9"/>
        <v>67</v>
      </c>
      <c r="M204" t="str">
        <f t="shared" si="11"/>
        <v>Older Adults</v>
      </c>
    </row>
    <row r="205" spans="1:13" x14ac:dyDescent="0.25">
      <c r="A205" t="s">
        <v>558</v>
      </c>
      <c r="B205" t="s">
        <v>559</v>
      </c>
      <c r="C205" s="6">
        <v>19778</v>
      </c>
      <c r="D205" t="s">
        <v>11</v>
      </c>
      <c r="E205" t="s">
        <v>152</v>
      </c>
      <c r="F205" t="s">
        <v>13</v>
      </c>
      <c r="G205" t="s">
        <v>153</v>
      </c>
      <c r="H205" s="6">
        <v>44615</v>
      </c>
      <c r="I205" s="6">
        <v>44624</v>
      </c>
      <c r="J205" s="4">
        <v>6192.22</v>
      </c>
      <c r="K205">
        <f t="shared" si="10"/>
        <v>9</v>
      </c>
      <c r="L205">
        <f t="shared" si="9"/>
        <v>68</v>
      </c>
      <c r="M205" t="str">
        <f t="shared" si="11"/>
        <v>Older Adults</v>
      </c>
    </row>
    <row r="206" spans="1:13" x14ac:dyDescent="0.25">
      <c r="A206" t="s">
        <v>560</v>
      </c>
      <c r="B206" t="s">
        <v>561</v>
      </c>
      <c r="C206" s="6">
        <v>9589</v>
      </c>
      <c r="D206" t="s">
        <v>27</v>
      </c>
      <c r="E206" t="s">
        <v>33</v>
      </c>
      <c r="F206" t="s">
        <v>13</v>
      </c>
      <c r="G206" t="s">
        <v>35</v>
      </c>
      <c r="H206" s="6">
        <v>44615</v>
      </c>
      <c r="I206" s="6">
        <v>44630</v>
      </c>
      <c r="J206" s="4">
        <v>2108.17</v>
      </c>
      <c r="K206">
        <f t="shared" si="10"/>
        <v>15</v>
      </c>
      <c r="L206">
        <f t="shared" si="9"/>
        <v>95</v>
      </c>
      <c r="M206" t="str">
        <f t="shared" si="11"/>
        <v>Older Adults</v>
      </c>
    </row>
    <row r="207" spans="1:13" x14ac:dyDescent="0.25">
      <c r="A207" t="s">
        <v>562</v>
      </c>
      <c r="B207" t="s">
        <v>563</v>
      </c>
      <c r="C207" s="6">
        <v>21715</v>
      </c>
      <c r="D207" t="s">
        <v>27</v>
      </c>
      <c r="E207" t="s">
        <v>28</v>
      </c>
      <c r="F207" t="s">
        <v>29</v>
      </c>
      <c r="G207" t="s">
        <v>124</v>
      </c>
      <c r="H207" s="6">
        <v>44618</v>
      </c>
      <c r="I207" s="6">
        <v>44644</v>
      </c>
      <c r="J207" s="4">
        <v>15515.37</v>
      </c>
      <c r="K207">
        <f t="shared" si="10"/>
        <v>26</v>
      </c>
      <c r="L207">
        <f t="shared" si="9"/>
        <v>62</v>
      </c>
      <c r="M207" t="str">
        <f t="shared" si="11"/>
        <v>Older Adults</v>
      </c>
    </row>
    <row r="208" spans="1:13" x14ac:dyDescent="0.25">
      <c r="A208" t="s">
        <v>564</v>
      </c>
      <c r="B208" t="s">
        <v>565</v>
      </c>
      <c r="C208" s="6">
        <v>25543</v>
      </c>
      <c r="D208" t="s">
        <v>11</v>
      </c>
      <c r="E208" t="s">
        <v>163</v>
      </c>
      <c r="F208" t="s">
        <v>164</v>
      </c>
      <c r="G208" t="s">
        <v>233</v>
      </c>
      <c r="H208" s="6">
        <v>44618</v>
      </c>
      <c r="I208" s="6">
        <v>44634</v>
      </c>
      <c r="J208" s="4">
        <v>12500.36</v>
      </c>
      <c r="K208">
        <f t="shared" si="10"/>
        <v>16</v>
      </c>
      <c r="L208">
        <f t="shared" si="9"/>
        <v>52</v>
      </c>
      <c r="M208" t="str">
        <f t="shared" si="11"/>
        <v>Adults</v>
      </c>
    </row>
    <row r="209" spans="1:13" x14ac:dyDescent="0.25">
      <c r="A209" t="s">
        <v>566</v>
      </c>
      <c r="B209" t="s">
        <v>567</v>
      </c>
      <c r="C209" s="6">
        <v>34496</v>
      </c>
      <c r="D209" t="s">
        <v>27</v>
      </c>
      <c r="E209" t="s">
        <v>281</v>
      </c>
      <c r="F209" t="s">
        <v>188</v>
      </c>
      <c r="G209" t="s">
        <v>282</v>
      </c>
      <c r="H209" s="6">
        <v>44620</v>
      </c>
      <c r="I209" s="6">
        <v>44644</v>
      </c>
      <c r="J209" s="4">
        <v>38081.11</v>
      </c>
      <c r="K209">
        <f t="shared" si="10"/>
        <v>24</v>
      </c>
      <c r="L209">
        <f t="shared" si="9"/>
        <v>27</v>
      </c>
      <c r="M209" t="str">
        <f t="shared" si="11"/>
        <v>Adults</v>
      </c>
    </row>
    <row r="210" spans="1:13" x14ac:dyDescent="0.25">
      <c r="A210" s="1" t="s">
        <v>568</v>
      </c>
      <c r="B210" t="s">
        <v>569</v>
      </c>
      <c r="C210" s="6">
        <v>37609</v>
      </c>
      <c r="D210" t="s">
        <v>27</v>
      </c>
      <c r="E210" t="s">
        <v>47</v>
      </c>
      <c r="F210" t="s">
        <v>340</v>
      </c>
      <c r="G210" t="s">
        <v>243</v>
      </c>
      <c r="H210" s="6">
        <v>44621</v>
      </c>
      <c r="I210" s="6">
        <v>44643</v>
      </c>
      <c r="J210" s="4">
        <v>7541.72</v>
      </c>
      <c r="K210">
        <f t="shared" si="10"/>
        <v>22</v>
      </c>
      <c r="L210">
        <f t="shared" si="9"/>
        <v>19</v>
      </c>
      <c r="M210" t="str">
        <f t="shared" si="11"/>
        <v>Young Adults</v>
      </c>
    </row>
    <row r="211" spans="1:13" x14ac:dyDescent="0.25">
      <c r="A211" t="s">
        <v>570</v>
      </c>
      <c r="B211" t="s">
        <v>571</v>
      </c>
      <c r="C211" s="6">
        <v>25608</v>
      </c>
      <c r="D211" t="s">
        <v>11</v>
      </c>
      <c r="E211" t="s">
        <v>281</v>
      </c>
      <c r="F211" t="s">
        <v>13</v>
      </c>
      <c r="G211" t="s">
        <v>282</v>
      </c>
      <c r="H211" s="6">
        <v>44621</v>
      </c>
      <c r="I211" s="6">
        <v>44623</v>
      </c>
      <c r="J211" s="4">
        <v>41862.74</v>
      </c>
      <c r="K211">
        <f t="shared" si="10"/>
        <v>2</v>
      </c>
      <c r="L211">
        <f t="shared" si="9"/>
        <v>52</v>
      </c>
      <c r="M211" t="str">
        <f t="shared" si="11"/>
        <v>Adults</v>
      </c>
    </row>
    <row r="212" spans="1:13" x14ac:dyDescent="0.25">
      <c r="A212" t="s">
        <v>572</v>
      </c>
      <c r="B212" t="s">
        <v>573</v>
      </c>
      <c r="C212" s="6">
        <v>19307</v>
      </c>
      <c r="D212" t="s">
        <v>11</v>
      </c>
      <c r="E212" t="s">
        <v>38</v>
      </c>
      <c r="F212" t="s">
        <v>13</v>
      </c>
      <c r="G212" t="s">
        <v>40</v>
      </c>
      <c r="H212" s="6">
        <v>44621</v>
      </c>
      <c r="I212" s="6">
        <v>44628</v>
      </c>
      <c r="J212" s="4">
        <v>3074.27</v>
      </c>
      <c r="K212">
        <f t="shared" si="10"/>
        <v>7</v>
      </c>
      <c r="L212">
        <f t="shared" si="9"/>
        <v>69</v>
      </c>
      <c r="M212" t="str">
        <f t="shared" si="11"/>
        <v>Older Adults</v>
      </c>
    </row>
    <row r="213" spans="1:13" x14ac:dyDescent="0.25">
      <c r="A213" t="s">
        <v>574</v>
      </c>
      <c r="B213" t="s">
        <v>575</v>
      </c>
      <c r="C213" s="6">
        <v>30772</v>
      </c>
      <c r="D213" t="s">
        <v>11</v>
      </c>
      <c r="E213" t="s">
        <v>120</v>
      </c>
      <c r="F213" t="s">
        <v>103</v>
      </c>
      <c r="G213" t="s">
        <v>121</v>
      </c>
      <c r="H213" s="6">
        <v>44622</v>
      </c>
      <c r="I213" s="6">
        <v>44644</v>
      </c>
      <c r="J213" s="4">
        <v>2949.1</v>
      </c>
      <c r="K213">
        <f t="shared" si="10"/>
        <v>22</v>
      </c>
      <c r="L213">
        <f t="shared" si="9"/>
        <v>37</v>
      </c>
      <c r="M213" t="str">
        <f t="shared" si="11"/>
        <v>Adults</v>
      </c>
    </row>
    <row r="214" spans="1:13" x14ac:dyDescent="0.25">
      <c r="A214" t="s">
        <v>576</v>
      </c>
      <c r="B214" t="s">
        <v>577</v>
      </c>
      <c r="C214" s="6">
        <v>23890</v>
      </c>
      <c r="D214" t="s">
        <v>11</v>
      </c>
      <c r="E214" t="s">
        <v>80</v>
      </c>
      <c r="F214" t="s">
        <v>13</v>
      </c>
      <c r="G214" t="s">
        <v>578</v>
      </c>
      <c r="H214" s="6">
        <v>44623</v>
      </c>
      <c r="I214" s="6">
        <v>44647</v>
      </c>
      <c r="J214" s="4">
        <v>15848.64</v>
      </c>
      <c r="K214">
        <f t="shared" si="10"/>
        <v>24</v>
      </c>
      <c r="L214">
        <f t="shared" si="9"/>
        <v>56</v>
      </c>
      <c r="M214" t="str">
        <f t="shared" si="11"/>
        <v>Adults</v>
      </c>
    </row>
    <row r="215" spans="1:13" x14ac:dyDescent="0.25">
      <c r="A215" t="s">
        <v>579</v>
      </c>
      <c r="B215" t="s">
        <v>580</v>
      </c>
      <c r="C215" s="6">
        <v>24294</v>
      </c>
      <c r="D215" t="s">
        <v>27</v>
      </c>
      <c r="E215" t="s">
        <v>33</v>
      </c>
      <c r="F215" t="s">
        <v>13</v>
      </c>
      <c r="G215" t="s">
        <v>35</v>
      </c>
      <c r="H215" s="6">
        <v>44623</v>
      </c>
      <c r="I215" s="6">
        <v>44641</v>
      </c>
      <c r="J215" s="4">
        <v>2780.21</v>
      </c>
      <c r="K215">
        <f t="shared" si="10"/>
        <v>18</v>
      </c>
      <c r="L215">
        <f t="shared" si="9"/>
        <v>55</v>
      </c>
      <c r="M215" t="str">
        <f t="shared" si="11"/>
        <v>Adults</v>
      </c>
    </row>
    <row r="216" spans="1:13" x14ac:dyDescent="0.25">
      <c r="A216" t="s">
        <v>581</v>
      </c>
      <c r="B216" t="s">
        <v>582</v>
      </c>
      <c r="C216" s="6">
        <v>45117</v>
      </c>
      <c r="D216" t="s">
        <v>27</v>
      </c>
      <c r="E216" t="s">
        <v>51</v>
      </c>
      <c r="F216" t="s">
        <v>29</v>
      </c>
      <c r="G216" t="s">
        <v>473</v>
      </c>
      <c r="H216" s="6">
        <v>44625</v>
      </c>
      <c r="I216" s="6">
        <v>44640</v>
      </c>
      <c r="J216" s="4">
        <v>9840.5</v>
      </c>
      <c r="K216">
        <f t="shared" si="10"/>
        <v>15</v>
      </c>
      <c r="L216" t="str">
        <f t="shared" si="9"/>
        <v>Invalid DOB</v>
      </c>
      <c r="M216" t="str">
        <f t="shared" si="11"/>
        <v>Invalid DOB</v>
      </c>
    </row>
    <row r="217" spans="1:13" x14ac:dyDescent="0.25">
      <c r="A217" t="s">
        <v>583</v>
      </c>
      <c r="B217" t="s">
        <v>584</v>
      </c>
      <c r="C217" s="6">
        <v>21702</v>
      </c>
      <c r="D217" t="s">
        <v>27</v>
      </c>
      <c r="E217" t="s">
        <v>47</v>
      </c>
      <c r="F217" t="s">
        <v>188</v>
      </c>
      <c r="G217" t="s">
        <v>243</v>
      </c>
      <c r="H217" s="6">
        <v>44627</v>
      </c>
      <c r="I217" s="6">
        <v>44648</v>
      </c>
      <c r="J217" s="4">
        <v>3908.72</v>
      </c>
      <c r="K217">
        <f t="shared" si="10"/>
        <v>21</v>
      </c>
      <c r="L217">
        <f t="shared" si="9"/>
        <v>62</v>
      </c>
      <c r="M217" t="str">
        <f t="shared" si="11"/>
        <v>Older Adults</v>
      </c>
    </row>
    <row r="218" spans="1:13" x14ac:dyDescent="0.25">
      <c r="A218" t="s">
        <v>585</v>
      </c>
      <c r="B218" t="s">
        <v>586</v>
      </c>
      <c r="C218" s="6">
        <v>38085</v>
      </c>
      <c r="D218" t="s">
        <v>11</v>
      </c>
      <c r="E218" t="s">
        <v>187</v>
      </c>
      <c r="F218" t="s">
        <v>13</v>
      </c>
      <c r="G218" t="s">
        <v>353</v>
      </c>
      <c r="H218" s="6">
        <v>44627</v>
      </c>
      <c r="I218" s="6">
        <v>44640</v>
      </c>
      <c r="J218" s="4">
        <v>11150.26</v>
      </c>
      <c r="K218">
        <f t="shared" si="10"/>
        <v>13</v>
      </c>
      <c r="L218">
        <f t="shared" si="9"/>
        <v>17</v>
      </c>
      <c r="M218" t="str">
        <f t="shared" si="11"/>
        <v>Children and Adolescent</v>
      </c>
    </row>
    <row r="219" spans="1:13" x14ac:dyDescent="0.25">
      <c r="A219" t="s">
        <v>587</v>
      </c>
      <c r="B219" t="s">
        <v>588</v>
      </c>
      <c r="C219" s="6">
        <v>20471</v>
      </c>
      <c r="D219" t="s">
        <v>27</v>
      </c>
      <c r="E219" t="s">
        <v>187</v>
      </c>
      <c r="F219" t="s">
        <v>13</v>
      </c>
      <c r="G219" t="s">
        <v>353</v>
      </c>
      <c r="H219" s="6">
        <v>44632</v>
      </c>
      <c r="I219" s="6">
        <v>44650</v>
      </c>
      <c r="J219" s="4">
        <v>11363.32</v>
      </c>
      <c r="K219">
        <f t="shared" si="10"/>
        <v>18</v>
      </c>
      <c r="L219">
        <f t="shared" si="9"/>
        <v>66</v>
      </c>
      <c r="M219" t="str">
        <f t="shared" si="11"/>
        <v>Older Adults</v>
      </c>
    </row>
    <row r="220" spans="1:13" x14ac:dyDescent="0.25">
      <c r="A220" t="s">
        <v>589</v>
      </c>
      <c r="B220" t="s">
        <v>590</v>
      </c>
      <c r="C220" s="6">
        <v>22918</v>
      </c>
      <c r="D220" t="s">
        <v>11</v>
      </c>
      <c r="E220" t="s">
        <v>138</v>
      </c>
      <c r="F220" t="s">
        <v>110</v>
      </c>
      <c r="G220" t="s">
        <v>143</v>
      </c>
      <c r="H220" s="6">
        <v>44634</v>
      </c>
      <c r="I220" s="6">
        <v>44635</v>
      </c>
      <c r="J220" s="4">
        <v>1617.87</v>
      </c>
      <c r="K220">
        <f t="shared" si="10"/>
        <v>1</v>
      </c>
      <c r="L220">
        <f t="shared" si="9"/>
        <v>59</v>
      </c>
      <c r="M220" t="str">
        <f t="shared" si="11"/>
        <v>Adults</v>
      </c>
    </row>
    <row r="221" spans="1:13" x14ac:dyDescent="0.25">
      <c r="A221" t="s">
        <v>591</v>
      </c>
      <c r="B221" t="s">
        <v>592</v>
      </c>
      <c r="C221" s="6">
        <v>19434</v>
      </c>
      <c r="D221" t="s">
        <v>11</v>
      </c>
      <c r="E221" t="s">
        <v>55</v>
      </c>
      <c r="F221" t="s">
        <v>217</v>
      </c>
      <c r="G221" t="s">
        <v>228</v>
      </c>
      <c r="H221" s="6">
        <v>44635</v>
      </c>
      <c r="I221" s="6">
        <v>44659</v>
      </c>
      <c r="J221" s="4">
        <v>1186.08</v>
      </c>
      <c r="K221">
        <f t="shared" si="10"/>
        <v>24</v>
      </c>
      <c r="L221">
        <f t="shared" si="9"/>
        <v>68</v>
      </c>
      <c r="M221" t="str">
        <f t="shared" si="11"/>
        <v>Older Adults</v>
      </c>
    </row>
    <row r="222" spans="1:13" x14ac:dyDescent="0.25">
      <c r="A222" t="s">
        <v>593</v>
      </c>
      <c r="B222" t="s">
        <v>594</v>
      </c>
      <c r="C222" s="6">
        <v>10796</v>
      </c>
      <c r="D222" t="s">
        <v>27</v>
      </c>
      <c r="E222" t="s">
        <v>120</v>
      </c>
      <c r="F222" t="s">
        <v>23</v>
      </c>
      <c r="G222" t="s">
        <v>121</v>
      </c>
      <c r="H222" s="6">
        <v>44639</v>
      </c>
      <c r="I222" s="6">
        <v>44640</v>
      </c>
      <c r="J222" s="4">
        <v>2468.69</v>
      </c>
      <c r="K222">
        <f t="shared" si="10"/>
        <v>1</v>
      </c>
      <c r="L222">
        <f t="shared" si="9"/>
        <v>92</v>
      </c>
      <c r="M222" t="str">
        <f t="shared" si="11"/>
        <v>Older Adults</v>
      </c>
    </row>
    <row r="223" spans="1:13" x14ac:dyDescent="0.25">
      <c r="A223" t="s">
        <v>595</v>
      </c>
      <c r="B223" t="s">
        <v>596</v>
      </c>
      <c r="C223" s="6">
        <v>17354</v>
      </c>
      <c r="D223" t="s">
        <v>11</v>
      </c>
      <c r="E223" t="s">
        <v>12</v>
      </c>
      <c r="F223" t="s">
        <v>13</v>
      </c>
      <c r="G223" t="s">
        <v>69</v>
      </c>
      <c r="H223" s="6">
        <v>44640</v>
      </c>
      <c r="I223" s="6">
        <v>44666</v>
      </c>
      <c r="J223" s="4">
        <v>13046.02</v>
      </c>
      <c r="K223">
        <f t="shared" si="10"/>
        <v>26</v>
      </c>
      <c r="L223">
        <f t="shared" si="9"/>
        <v>74</v>
      </c>
      <c r="M223" t="str">
        <f t="shared" si="11"/>
        <v>Older Adults</v>
      </c>
    </row>
    <row r="224" spans="1:13" x14ac:dyDescent="0.25">
      <c r="A224" t="s">
        <v>597</v>
      </c>
      <c r="B224" t="s">
        <v>598</v>
      </c>
      <c r="C224" s="6">
        <v>16235</v>
      </c>
      <c r="D224" t="s">
        <v>27</v>
      </c>
      <c r="E224" t="s">
        <v>38</v>
      </c>
      <c r="F224" t="s">
        <v>39</v>
      </c>
      <c r="G224" t="s">
        <v>117</v>
      </c>
      <c r="H224" s="6">
        <v>44642</v>
      </c>
      <c r="I224" s="6">
        <v>44664</v>
      </c>
      <c r="J224" s="4">
        <v>3438.59</v>
      </c>
      <c r="K224">
        <f t="shared" si="10"/>
        <v>22</v>
      </c>
      <c r="L224">
        <f t="shared" si="9"/>
        <v>77</v>
      </c>
      <c r="M224" t="str">
        <f t="shared" si="11"/>
        <v>Older Adults</v>
      </c>
    </row>
    <row r="225" spans="1:13" x14ac:dyDescent="0.25">
      <c r="A225" t="s">
        <v>599</v>
      </c>
      <c r="B225" t="s">
        <v>600</v>
      </c>
      <c r="C225" s="6">
        <v>41923</v>
      </c>
      <c r="D225" t="s">
        <v>27</v>
      </c>
      <c r="E225" t="s">
        <v>178</v>
      </c>
      <c r="F225" t="s">
        <v>179</v>
      </c>
      <c r="G225" t="s">
        <v>434</v>
      </c>
      <c r="H225" s="6">
        <v>44642</v>
      </c>
      <c r="I225" s="6">
        <v>44663</v>
      </c>
      <c r="J225" s="4">
        <v>1976.63</v>
      </c>
      <c r="K225">
        <f t="shared" si="10"/>
        <v>21</v>
      </c>
      <c r="L225">
        <f t="shared" si="9"/>
        <v>7</v>
      </c>
      <c r="M225" t="str">
        <f t="shared" si="11"/>
        <v>Children and Adolescent</v>
      </c>
    </row>
    <row r="226" spans="1:13" x14ac:dyDescent="0.25">
      <c r="A226" t="s">
        <v>601</v>
      </c>
      <c r="B226" t="s">
        <v>602</v>
      </c>
      <c r="C226" s="6">
        <v>40247</v>
      </c>
      <c r="D226" t="s">
        <v>11</v>
      </c>
      <c r="E226" t="s">
        <v>362</v>
      </c>
      <c r="F226" t="s">
        <v>172</v>
      </c>
      <c r="G226" t="s">
        <v>603</v>
      </c>
      <c r="H226" s="6">
        <v>44642</v>
      </c>
      <c r="I226" s="6">
        <v>44661</v>
      </c>
      <c r="J226" s="4">
        <v>19170.990000000002</v>
      </c>
      <c r="K226">
        <f t="shared" si="10"/>
        <v>19</v>
      </c>
      <c r="L226">
        <f t="shared" si="9"/>
        <v>12</v>
      </c>
      <c r="M226" t="str">
        <f t="shared" si="11"/>
        <v>Children and Adolescent</v>
      </c>
    </row>
    <row r="227" spans="1:13" x14ac:dyDescent="0.25">
      <c r="A227" t="s">
        <v>604</v>
      </c>
      <c r="B227" t="s">
        <v>605</v>
      </c>
      <c r="C227" s="6">
        <v>20920</v>
      </c>
      <c r="D227" t="s">
        <v>11</v>
      </c>
      <c r="E227" t="s">
        <v>38</v>
      </c>
      <c r="F227" t="s">
        <v>39</v>
      </c>
      <c r="G227" t="s">
        <v>77</v>
      </c>
      <c r="H227" s="6">
        <v>44642</v>
      </c>
      <c r="I227" s="6">
        <v>44661</v>
      </c>
      <c r="J227" s="4">
        <v>2006.08</v>
      </c>
      <c r="K227">
        <f t="shared" si="10"/>
        <v>19</v>
      </c>
      <c r="L227">
        <f t="shared" si="9"/>
        <v>64</v>
      </c>
      <c r="M227" t="str">
        <f t="shared" si="11"/>
        <v>Older Adults</v>
      </c>
    </row>
    <row r="228" spans="1:13" x14ac:dyDescent="0.25">
      <c r="A228" s="1" t="s">
        <v>606</v>
      </c>
      <c r="B228" t="s">
        <v>607</v>
      </c>
      <c r="C228" s="6">
        <v>10832</v>
      </c>
      <c r="D228" t="s">
        <v>27</v>
      </c>
      <c r="E228" t="s">
        <v>302</v>
      </c>
      <c r="F228" t="s">
        <v>29</v>
      </c>
      <c r="G228" t="s">
        <v>399</v>
      </c>
      <c r="H228" s="6">
        <v>44643</v>
      </c>
      <c r="I228" s="6">
        <v>44658</v>
      </c>
      <c r="J228" s="4">
        <v>10516.67</v>
      </c>
      <c r="K228">
        <f t="shared" si="10"/>
        <v>15</v>
      </c>
      <c r="L228">
        <f t="shared" si="9"/>
        <v>92</v>
      </c>
      <c r="M228" t="str">
        <f t="shared" si="11"/>
        <v>Older Adults</v>
      </c>
    </row>
    <row r="229" spans="1:13" x14ac:dyDescent="0.25">
      <c r="A229" t="s">
        <v>608</v>
      </c>
      <c r="B229" t="s">
        <v>609</v>
      </c>
      <c r="C229" s="6">
        <v>36094</v>
      </c>
      <c r="D229" t="s">
        <v>27</v>
      </c>
      <c r="E229" t="s">
        <v>97</v>
      </c>
      <c r="F229" t="s">
        <v>540</v>
      </c>
      <c r="G229" t="s">
        <v>221</v>
      </c>
      <c r="H229" s="6">
        <v>44643</v>
      </c>
      <c r="I229" s="6">
        <v>44660</v>
      </c>
      <c r="J229" s="4">
        <v>922.7</v>
      </c>
      <c r="K229">
        <f t="shared" si="10"/>
        <v>17</v>
      </c>
      <c r="L229">
        <f t="shared" si="9"/>
        <v>23</v>
      </c>
      <c r="M229" t="str">
        <f t="shared" si="11"/>
        <v>Young Adults</v>
      </c>
    </row>
    <row r="230" spans="1:13" x14ac:dyDescent="0.25">
      <c r="A230" t="s">
        <v>610</v>
      </c>
      <c r="B230" t="s">
        <v>611</v>
      </c>
      <c r="C230" s="6">
        <v>25632</v>
      </c>
      <c r="D230" t="s">
        <v>11</v>
      </c>
      <c r="E230" t="s">
        <v>163</v>
      </c>
      <c r="F230" t="s">
        <v>164</v>
      </c>
      <c r="G230" t="s">
        <v>233</v>
      </c>
      <c r="H230" s="6">
        <v>44645</v>
      </c>
      <c r="I230" s="6">
        <v>44673</v>
      </c>
      <c r="J230" s="4">
        <v>44744.9</v>
      </c>
      <c r="K230">
        <f t="shared" si="10"/>
        <v>28</v>
      </c>
      <c r="L230">
        <f t="shared" si="9"/>
        <v>52</v>
      </c>
      <c r="M230" t="str">
        <f t="shared" si="11"/>
        <v>Adults</v>
      </c>
    </row>
    <row r="231" spans="1:13" x14ac:dyDescent="0.25">
      <c r="A231" t="s">
        <v>612</v>
      </c>
      <c r="B231" t="s">
        <v>613</v>
      </c>
      <c r="C231" s="6">
        <v>28392</v>
      </c>
      <c r="D231" t="s">
        <v>11</v>
      </c>
      <c r="E231" t="s">
        <v>65</v>
      </c>
      <c r="F231" t="s">
        <v>23</v>
      </c>
      <c r="G231" t="s">
        <v>519</v>
      </c>
      <c r="H231" s="6">
        <v>44645</v>
      </c>
      <c r="I231" s="6">
        <v>44658</v>
      </c>
      <c r="J231" s="4">
        <v>198.28</v>
      </c>
      <c r="K231">
        <f t="shared" si="10"/>
        <v>13</v>
      </c>
      <c r="L231">
        <f t="shared" si="9"/>
        <v>44</v>
      </c>
      <c r="M231" t="str">
        <f t="shared" si="11"/>
        <v>Adults</v>
      </c>
    </row>
    <row r="232" spans="1:13" x14ac:dyDescent="0.25">
      <c r="A232" t="s">
        <v>614</v>
      </c>
      <c r="B232" t="s">
        <v>615</v>
      </c>
      <c r="C232" s="6">
        <v>39187</v>
      </c>
      <c r="D232" t="s">
        <v>11</v>
      </c>
      <c r="E232" t="s">
        <v>281</v>
      </c>
      <c r="F232" t="s">
        <v>188</v>
      </c>
      <c r="G232" t="s">
        <v>616</v>
      </c>
      <c r="H232" s="6">
        <v>44647</v>
      </c>
      <c r="I232" s="6">
        <v>44675</v>
      </c>
      <c r="J232" s="4">
        <v>49010.2</v>
      </c>
      <c r="K232">
        <f t="shared" si="10"/>
        <v>28</v>
      </c>
      <c r="L232">
        <f t="shared" si="9"/>
        <v>14</v>
      </c>
      <c r="M232" t="str">
        <f t="shared" si="11"/>
        <v>Children and Adolescent</v>
      </c>
    </row>
    <row r="233" spans="1:13" x14ac:dyDescent="0.25">
      <c r="A233" t="s">
        <v>617</v>
      </c>
      <c r="B233" t="s">
        <v>618</v>
      </c>
      <c r="C233" s="6">
        <v>26972</v>
      </c>
      <c r="D233" t="s">
        <v>27</v>
      </c>
      <c r="E233" t="s">
        <v>28</v>
      </c>
      <c r="F233" t="s">
        <v>43</v>
      </c>
      <c r="G233" t="s">
        <v>124</v>
      </c>
      <c r="H233" s="6">
        <v>44648</v>
      </c>
      <c r="I233" s="6">
        <v>44665</v>
      </c>
      <c r="J233" s="4">
        <v>18841.28</v>
      </c>
      <c r="K233">
        <f t="shared" si="10"/>
        <v>17</v>
      </c>
      <c r="L233">
        <f t="shared" si="9"/>
        <v>48</v>
      </c>
      <c r="M233" t="str">
        <f t="shared" si="11"/>
        <v>Adults</v>
      </c>
    </row>
    <row r="234" spans="1:13" x14ac:dyDescent="0.25">
      <c r="A234" t="s">
        <v>619</v>
      </c>
      <c r="B234" t="s">
        <v>620</v>
      </c>
      <c r="C234" s="6">
        <v>37315</v>
      </c>
      <c r="D234" t="s">
        <v>11</v>
      </c>
      <c r="E234" t="s">
        <v>92</v>
      </c>
      <c r="F234" t="s">
        <v>93</v>
      </c>
      <c r="G234" t="s">
        <v>94</v>
      </c>
      <c r="H234" s="6">
        <v>44649</v>
      </c>
      <c r="I234" s="6">
        <v>44659</v>
      </c>
      <c r="J234" s="4">
        <v>1244.31</v>
      </c>
      <c r="K234">
        <f t="shared" si="10"/>
        <v>10</v>
      </c>
      <c r="L234">
        <f t="shared" si="9"/>
        <v>20</v>
      </c>
      <c r="M234" t="str">
        <f t="shared" si="11"/>
        <v>Young Adults</v>
      </c>
    </row>
    <row r="235" spans="1:13" x14ac:dyDescent="0.25">
      <c r="A235" t="s">
        <v>621</v>
      </c>
      <c r="B235" t="s">
        <v>622</v>
      </c>
      <c r="C235" s="6">
        <v>29620</v>
      </c>
      <c r="D235" t="s">
        <v>11</v>
      </c>
      <c r="E235" t="s">
        <v>92</v>
      </c>
      <c r="F235" t="s">
        <v>13</v>
      </c>
      <c r="G235" t="s">
        <v>94</v>
      </c>
      <c r="H235" s="6">
        <v>44650</v>
      </c>
      <c r="I235" s="6">
        <v>44672</v>
      </c>
      <c r="J235" s="4">
        <v>2456.37</v>
      </c>
      <c r="K235">
        <f t="shared" si="10"/>
        <v>22</v>
      </c>
      <c r="L235">
        <f t="shared" si="9"/>
        <v>41</v>
      </c>
      <c r="M235" t="str">
        <f t="shared" si="11"/>
        <v>Adults</v>
      </c>
    </row>
    <row r="236" spans="1:13" x14ac:dyDescent="0.25">
      <c r="A236" t="s">
        <v>623</v>
      </c>
      <c r="B236" t="s">
        <v>624</v>
      </c>
      <c r="C236" s="6">
        <v>16862</v>
      </c>
      <c r="D236" t="s">
        <v>11</v>
      </c>
      <c r="E236" t="s">
        <v>102</v>
      </c>
      <c r="F236" t="s">
        <v>172</v>
      </c>
      <c r="G236" t="s">
        <v>529</v>
      </c>
      <c r="H236" s="6">
        <v>44651</v>
      </c>
      <c r="I236" s="6">
        <v>44678</v>
      </c>
      <c r="J236" s="4">
        <v>30261.06</v>
      </c>
      <c r="K236">
        <f t="shared" si="10"/>
        <v>27</v>
      </c>
      <c r="L236">
        <f t="shared" si="9"/>
        <v>76</v>
      </c>
      <c r="M236" t="str">
        <f t="shared" si="11"/>
        <v>Older Adults</v>
      </c>
    </row>
    <row r="237" spans="1:13" x14ac:dyDescent="0.25">
      <c r="A237" t="s">
        <v>625</v>
      </c>
      <c r="B237" t="s">
        <v>626</v>
      </c>
      <c r="C237" s="6">
        <v>24980</v>
      </c>
      <c r="D237" t="s">
        <v>27</v>
      </c>
      <c r="E237" t="s">
        <v>65</v>
      </c>
      <c r="F237" t="s">
        <v>114</v>
      </c>
      <c r="G237" t="s">
        <v>519</v>
      </c>
      <c r="H237" s="6">
        <v>44651</v>
      </c>
      <c r="I237" s="6">
        <v>44653</v>
      </c>
      <c r="J237" s="4">
        <v>269.77</v>
      </c>
      <c r="K237">
        <f t="shared" si="10"/>
        <v>2</v>
      </c>
      <c r="L237">
        <f t="shared" si="9"/>
        <v>53</v>
      </c>
      <c r="M237" t="str">
        <f t="shared" si="11"/>
        <v>Adults</v>
      </c>
    </row>
    <row r="238" spans="1:13" x14ac:dyDescent="0.25">
      <c r="A238" t="s">
        <v>627</v>
      </c>
      <c r="B238" t="s">
        <v>628</v>
      </c>
      <c r="C238" s="6">
        <v>11966</v>
      </c>
      <c r="D238" t="s">
        <v>27</v>
      </c>
      <c r="E238" t="s">
        <v>178</v>
      </c>
      <c r="F238" t="s">
        <v>182</v>
      </c>
      <c r="G238" t="s">
        <v>545</v>
      </c>
      <c r="H238" s="6">
        <v>44652</v>
      </c>
      <c r="I238" s="6">
        <v>44678</v>
      </c>
      <c r="J238" s="4">
        <v>2807.08</v>
      </c>
      <c r="K238">
        <f t="shared" si="10"/>
        <v>26</v>
      </c>
      <c r="L238">
        <f t="shared" si="9"/>
        <v>89</v>
      </c>
      <c r="M238" t="str">
        <f t="shared" si="11"/>
        <v>Older Adults</v>
      </c>
    </row>
    <row r="239" spans="1:13" x14ac:dyDescent="0.25">
      <c r="A239" t="s">
        <v>629</v>
      </c>
      <c r="B239" t="s">
        <v>630</v>
      </c>
      <c r="C239" s="6">
        <v>20772</v>
      </c>
      <c r="D239" t="s">
        <v>11</v>
      </c>
      <c r="E239" t="s">
        <v>302</v>
      </c>
      <c r="F239" t="s">
        <v>29</v>
      </c>
      <c r="G239" t="s">
        <v>303</v>
      </c>
      <c r="H239" s="6">
        <v>44653</v>
      </c>
      <c r="I239" s="6">
        <v>44682</v>
      </c>
      <c r="J239" s="4">
        <v>12446.39</v>
      </c>
      <c r="K239">
        <f t="shared" si="10"/>
        <v>29</v>
      </c>
      <c r="L239">
        <f t="shared" si="9"/>
        <v>65</v>
      </c>
      <c r="M239" t="str">
        <f t="shared" si="11"/>
        <v>Older Adults</v>
      </c>
    </row>
    <row r="240" spans="1:13" x14ac:dyDescent="0.25">
      <c r="A240" t="s">
        <v>631</v>
      </c>
      <c r="B240" t="s">
        <v>632</v>
      </c>
      <c r="C240" s="6">
        <v>37520</v>
      </c>
      <c r="D240" t="s">
        <v>11</v>
      </c>
      <c r="E240" t="s">
        <v>80</v>
      </c>
      <c r="F240" t="s">
        <v>29</v>
      </c>
      <c r="G240" t="s">
        <v>444</v>
      </c>
      <c r="H240" s="6">
        <v>44654</v>
      </c>
      <c r="I240" s="6">
        <v>44684</v>
      </c>
      <c r="J240" s="4">
        <v>8333.65</v>
      </c>
      <c r="K240">
        <f t="shared" si="10"/>
        <v>30</v>
      </c>
      <c r="L240">
        <f t="shared" si="9"/>
        <v>19</v>
      </c>
      <c r="M240" t="str">
        <f t="shared" si="11"/>
        <v>Young Adults</v>
      </c>
    </row>
    <row r="241" spans="1:13" x14ac:dyDescent="0.25">
      <c r="A241" t="s">
        <v>633</v>
      </c>
      <c r="B241" t="s">
        <v>634</v>
      </c>
      <c r="C241" s="6">
        <v>31997</v>
      </c>
      <c r="D241" t="s">
        <v>27</v>
      </c>
      <c r="E241" t="s">
        <v>281</v>
      </c>
      <c r="F241" t="s">
        <v>13</v>
      </c>
      <c r="G241" t="s">
        <v>437</v>
      </c>
      <c r="H241" s="6">
        <v>44656</v>
      </c>
      <c r="I241" s="6">
        <v>44669</v>
      </c>
      <c r="J241" s="4">
        <v>38683.82</v>
      </c>
      <c r="K241">
        <f t="shared" si="10"/>
        <v>13</v>
      </c>
      <c r="L241">
        <f t="shared" si="9"/>
        <v>34</v>
      </c>
      <c r="M241" t="str">
        <f t="shared" si="11"/>
        <v>Adults</v>
      </c>
    </row>
    <row r="242" spans="1:13" x14ac:dyDescent="0.25">
      <c r="A242" t="s">
        <v>635</v>
      </c>
      <c r="B242" t="s">
        <v>636</v>
      </c>
      <c r="C242" s="6">
        <v>43663</v>
      </c>
      <c r="D242" t="s">
        <v>11</v>
      </c>
      <c r="E242" t="s">
        <v>142</v>
      </c>
      <c r="F242" t="s">
        <v>110</v>
      </c>
      <c r="G242" t="s">
        <v>394</v>
      </c>
      <c r="H242" s="6">
        <v>44656</v>
      </c>
      <c r="I242" s="6">
        <v>44662</v>
      </c>
      <c r="J242" s="4">
        <v>1404.21</v>
      </c>
      <c r="K242">
        <f t="shared" si="10"/>
        <v>6</v>
      </c>
      <c r="L242">
        <f t="shared" si="9"/>
        <v>2</v>
      </c>
      <c r="M242" t="str">
        <f t="shared" si="11"/>
        <v>Early childhood</v>
      </c>
    </row>
    <row r="243" spans="1:13" x14ac:dyDescent="0.25">
      <c r="A243" t="s">
        <v>637</v>
      </c>
      <c r="B243" t="s">
        <v>638</v>
      </c>
      <c r="C243" s="6">
        <v>31433</v>
      </c>
      <c r="D243" t="s">
        <v>11</v>
      </c>
      <c r="E243" t="s">
        <v>152</v>
      </c>
      <c r="F243" t="s">
        <v>56</v>
      </c>
      <c r="G243" t="s">
        <v>195</v>
      </c>
      <c r="H243" s="6">
        <v>44657</v>
      </c>
      <c r="I243" s="6">
        <v>44683</v>
      </c>
      <c r="J243" s="4">
        <v>12186.67</v>
      </c>
      <c r="K243">
        <f t="shared" si="10"/>
        <v>26</v>
      </c>
      <c r="L243">
        <f t="shared" si="9"/>
        <v>36</v>
      </c>
      <c r="M243" t="str">
        <f t="shared" si="11"/>
        <v>Adults</v>
      </c>
    </row>
    <row r="244" spans="1:13" x14ac:dyDescent="0.25">
      <c r="A244" t="s">
        <v>639</v>
      </c>
      <c r="B244" t="s">
        <v>640</v>
      </c>
      <c r="C244" s="6">
        <v>38358</v>
      </c>
      <c r="D244" t="s">
        <v>27</v>
      </c>
      <c r="E244" t="s">
        <v>17</v>
      </c>
      <c r="F244" t="s">
        <v>34</v>
      </c>
      <c r="G244" t="s">
        <v>135</v>
      </c>
      <c r="H244" s="6">
        <v>44658</v>
      </c>
      <c r="I244" s="6">
        <v>44661</v>
      </c>
      <c r="J244" s="4">
        <v>2398.38</v>
      </c>
      <c r="K244">
        <f t="shared" si="10"/>
        <v>3</v>
      </c>
      <c r="L244">
        <f t="shared" si="9"/>
        <v>17</v>
      </c>
      <c r="M244" t="str">
        <f t="shared" si="11"/>
        <v>Children and Adolescent</v>
      </c>
    </row>
    <row r="245" spans="1:13" x14ac:dyDescent="0.25">
      <c r="A245" t="s">
        <v>641</v>
      </c>
      <c r="B245" t="s">
        <v>642</v>
      </c>
      <c r="C245" s="6">
        <v>23381</v>
      </c>
      <c r="D245" t="s">
        <v>11</v>
      </c>
      <c r="E245" t="s">
        <v>163</v>
      </c>
      <c r="F245" t="s">
        <v>13</v>
      </c>
      <c r="G245" t="s">
        <v>165</v>
      </c>
      <c r="H245" s="6">
        <v>44660</v>
      </c>
      <c r="I245" s="6">
        <v>44669</v>
      </c>
      <c r="J245" s="4">
        <v>35988.6</v>
      </c>
      <c r="K245">
        <f t="shared" si="10"/>
        <v>9</v>
      </c>
      <c r="L245">
        <f t="shared" si="9"/>
        <v>58</v>
      </c>
      <c r="M245" t="str">
        <f t="shared" si="11"/>
        <v>Adults</v>
      </c>
    </row>
    <row r="246" spans="1:13" x14ac:dyDescent="0.25">
      <c r="A246" t="s">
        <v>643</v>
      </c>
      <c r="B246" t="s">
        <v>644</v>
      </c>
      <c r="C246" s="6">
        <v>22511</v>
      </c>
      <c r="D246" t="s">
        <v>11</v>
      </c>
      <c r="E246" t="s">
        <v>271</v>
      </c>
      <c r="F246" t="s">
        <v>272</v>
      </c>
      <c r="G246" t="s">
        <v>385</v>
      </c>
      <c r="H246" s="6">
        <v>44661</v>
      </c>
      <c r="I246" s="6">
        <v>44672</v>
      </c>
      <c r="J246" s="4">
        <v>736.7</v>
      </c>
      <c r="K246">
        <f t="shared" si="10"/>
        <v>11</v>
      </c>
      <c r="L246">
        <f t="shared" si="9"/>
        <v>60</v>
      </c>
      <c r="M246" t="str">
        <f t="shared" si="11"/>
        <v>Older Adults</v>
      </c>
    </row>
    <row r="247" spans="1:13" x14ac:dyDescent="0.25">
      <c r="A247" t="s">
        <v>645</v>
      </c>
      <c r="B247" t="s">
        <v>646</v>
      </c>
      <c r="C247" s="6">
        <v>44308</v>
      </c>
      <c r="D247" t="s">
        <v>27</v>
      </c>
      <c r="E247" t="s">
        <v>152</v>
      </c>
      <c r="F247" t="s">
        <v>13</v>
      </c>
      <c r="G247" t="s">
        <v>195</v>
      </c>
      <c r="H247" s="6">
        <v>44662</v>
      </c>
      <c r="I247" s="6">
        <v>44681</v>
      </c>
      <c r="J247" s="4">
        <v>17702.8</v>
      </c>
      <c r="K247">
        <f t="shared" si="10"/>
        <v>19</v>
      </c>
      <c r="L247">
        <f t="shared" si="9"/>
        <v>0</v>
      </c>
      <c r="M247" t="str">
        <f t="shared" si="11"/>
        <v>Early childhood</v>
      </c>
    </row>
    <row r="248" spans="1:13" x14ac:dyDescent="0.25">
      <c r="A248" t="s">
        <v>647</v>
      </c>
      <c r="B248" t="s">
        <v>648</v>
      </c>
      <c r="C248" s="6">
        <v>13511</v>
      </c>
      <c r="D248" t="s">
        <v>11</v>
      </c>
      <c r="E248" t="s">
        <v>60</v>
      </c>
      <c r="F248" t="s">
        <v>61</v>
      </c>
      <c r="G248" t="s">
        <v>89</v>
      </c>
      <c r="H248" s="6">
        <v>44665</v>
      </c>
      <c r="I248" s="6">
        <v>44668</v>
      </c>
      <c r="J248" s="4">
        <v>60452.7</v>
      </c>
      <c r="K248">
        <f t="shared" si="10"/>
        <v>3</v>
      </c>
      <c r="L248">
        <f t="shared" si="9"/>
        <v>85</v>
      </c>
      <c r="M248" t="str">
        <f t="shared" si="11"/>
        <v>Older Adults</v>
      </c>
    </row>
    <row r="249" spans="1:13" x14ac:dyDescent="0.25">
      <c r="A249" t="s">
        <v>649</v>
      </c>
      <c r="B249" t="s">
        <v>650</v>
      </c>
      <c r="C249" s="6">
        <v>28063</v>
      </c>
      <c r="D249" t="s">
        <v>11</v>
      </c>
      <c r="E249" t="s">
        <v>152</v>
      </c>
      <c r="F249" t="s">
        <v>13</v>
      </c>
      <c r="G249" t="s">
        <v>214</v>
      </c>
      <c r="H249" s="6">
        <v>44667</v>
      </c>
      <c r="I249" s="6">
        <v>44687</v>
      </c>
      <c r="J249" s="4">
        <v>15309.39</v>
      </c>
      <c r="K249">
        <f t="shared" si="10"/>
        <v>20</v>
      </c>
      <c r="L249">
        <f t="shared" si="9"/>
        <v>45</v>
      </c>
      <c r="M249" t="str">
        <f t="shared" si="11"/>
        <v>Adults</v>
      </c>
    </row>
    <row r="250" spans="1:13" x14ac:dyDescent="0.25">
      <c r="A250" s="1" t="s">
        <v>651</v>
      </c>
      <c r="B250" t="s">
        <v>652</v>
      </c>
      <c r="C250" s="6">
        <v>23804</v>
      </c>
      <c r="D250" t="s">
        <v>27</v>
      </c>
      <c r="E250" t="s">
        <v>65</v>
      </c>
      <c r="F250" t="s">
        <v>114</v>
      </c>
      <c r="G250" t="s">
        <v>66</v>
      </c>
      <c r="H250" s="6">
        <v>44667</v>
      </c>
      <c r="I250" s="6">
        <v>44671</v>
      </c>
      <c r="J250" s="4">
        <v>274.52999999999997</v>
      </c>
      <c r="K250">
        <f t="shared" si="10"/>
        <v>4</v>
      </c>
      <c r="L250">
        <f t="shared" si="9"/>
        <v>57</v>
      </c>
      <c r="M250" t="str">
        <f t="shared" si="11"/>
        <v>Adults</v>
      </c>
    </row>
    <row r="251" spans="1:13" x14ac:dyDescent="0.25">
      <c r="A251" t="s">
        <v>653</v>
      </c>
      <c r="B251" t="s">
        <v>654</v>
      </c>
      <c r="C251" s="6">
        <v>42348</v>
      </c>
      <c r="D251" t="s">
        <v>27</v>
      </c>
      <c r="E251" t="s">
        <v>33</v>
      </c>
      <c r="F251" t="s">
        <v>34</v>
      </c>
      <c r="G251" t="s">
        <v>35</v>
      </c>
      <c r="H251" s="6">
        <v>44671</v>
      </c>
      <c r="I251" s="6">
        <v>44676</v>
      </c>
      <c r="J251" s="4">
        <v>3090.77</v>
      </c>
      <c r="K251">
        <f t="shared" si="10"/>
        <v>5</v>
      </c>
      <c r="L251">
        <f t="shared" si="9"/>
        <v>6</v>
      </c>
      <c r="M251" t="str">
        <f t="shared" si="11"/>
        <v>Children and Adolescent</v>
      </c>
    </row>
    <row r="252" spans="1:13" x14ac:dyDescent="0.25">
      <c r="A252" t="s">
        <v>655</v>
      </c>
      <c r="B252" t="s">
        <v>656</v>
      </c>
      <c r="C252" s="6">
        <v>16950</v>
      </c>
      <c r="D252" t="s">
        <v>11</v>
      </c>
      <c r="E252" t="s">
        <v>22</v>
      </c>
      <c r="F252" t="s">
        <v>110</v>
      </c>
      <c r="G252" t="s">
        <v>111</v>
      </c>
      <c r="H252" s="6">
        <v>44672</v>
      </c>
      <c r="I252" s="6">
        <v>44673</v>
      </c>
      <c r="J252" s="4">
        <v>1277.6300000000001</v>
      </c>
      <c r="K252">
        <f t="shared" si="10"/>
        <v>1</v>
      </c>
      <c r="L252">
        <f t="shared" si="9"/>
        <v>75</v>
      </c>
      <c r="M252" t="str">
        <f t="shared" si="11"/>
        <v>Older Adults</v>
      </c>
    </row>
    <row r="253" spans="1:13" x14ac:dyDescent="0.25">
      <c r="A253" t="s">
        <v>657</v>
      </c>
      <c r="B253" t="s">
        <v>658</v>
      </c>
      <c r="C253" s="6">
        <v>35720</v>
      </c>
      <c r="D253" t="s">
        <v>11</v>
      </c>
      <c r="E253" t="s">
        <v>362</v>
      </c>
      <c r="F253" t="s">
        <v>110</v>
      </c>
      <c r="G253" t="s">
        <v>659</v>
      </c>
      <c r="H253" s="6">
        <v>44672</v>
      </c>
      <c r="I253" s="6">
        <v>44683</v>
      </c>
      <c r="J253" s="4">
        <v>7525.45</v>
      </c>
      <c r="K253">
        <f t="shared" si="10"/>
        <v>11</v>
      </c>
      <c r="L253">
        <f t="shared" si="9"/>
        <v>24</v>
      </c>
      <c r="M253" t="str">
        <f t="shared" si="11"/>
        <v>Young Adults</v>
      </c>
    </row>
    <row r="254" spans="1:13" x14ac:dyDescent="0.25">
      <c r="A254" t="s">
        <v>660</v>
      </c>
      <c r="B254" t="s">
        <v>661</v>
      </c>
      <c r="C254" s="6">
        <v>21161</v>
      </c>
      <c r="D254" t="s">
        <v>27</v>
      </c>
      <c r="E254" t="s">
        <v>51</v>
      </c>
      <c r="F254" t="s">
        <v>29</v>
      </c>
      <c r="G254" t="s">
        <v>662</v>
      </c>
      <c r="H254" s="6">
        <v>44673</v>
      </c>
      <c r="I254" s="6">
        <v>44674</v>
      </c>
      <c r="J254" s="4">
        <v>2350.1999999999998</v>
      </c>
      <c r="K254">
        <f t="shared" si="10"/>
        <v>1</v>
      </c>
      <c r="L254">
        <f t="shared" si="9"/>
        <v>64</v>
      </c>
      <c r="M254" t="str">
        <f t="shared" si="11"/>
        <v>Older Adults</v>
      </c>
    </row>
    <row r="255" spans="1:13" x14ac:dyDescent="0.25">
      <c r="A255" t="s">
        <v>663</v>
      </c>
      <c r="B255" t="s">
        <v>664</v>
      </c>
      <c r="C255" s="6">
        <v>20473</v>
      </c>
      <c r="D255" t="s">
        <v>27</v>
      </c>
      <c r="E255" t="s">
        <v>72</v>
      </c>
      <c r="F255" t="s">
        <v>73</v>
      </c>
      <c r="G255" t="s">
        <v>74</v>
      </c>
      <c r="H255" s="6">
        <v>44673</v>
      </c>
      <c r="I255" s="6">
        <v>44687</v>
      </c>
      <c r="J255" s="4">
        <v>8137.96</v>
      </c>
      <c r="K255">
        <f t="shared" si="10"/>
        <v>14</v>
      </c>
      <c r="L255">
        <f t="shared" si="9"/>
        <v>66</v>
      </c>
      <c r="M255" t="str">
        <f t="shared" si="11"/>
        <v>Older Adults</v>
      </c>
    </row>
    <row r="256" spans="1:13" x14ac:dyDescent="0.25">
      <c r="A256" t="s">
        <v>665</v>
      </c>
      <c r="B256" t="s">
        <v>666</v>
      </c>
      <c r="C256" s="6">
        <v>19226</v>
      </c>
      <c r="D256" t="s">
        <v>27</v>
      </c>
      <c r="E256" t="s">
        <v>187</v>
      </c>
      <c r="F256" t="s">
        <v>13</v>
      </c>
      <c r="G256" t="s">
        <v>192</v>
      </c>
      <c r="H256" s="6">
        <v>44674</v>
      </c>
      <c r="I256" s="6">
        <v>44692</v>
      </c>
      <c r="J256" s="4">
        <v>13451.1</v>
      </c>
      <c r="K256">
        <f t="shared" si="10"/>
        <v>18</v>
      </c>
      <c r="L256">
        <f t="shared" si="9"/>
        <v>69</v>
      </c>
      <c r="M256" t="str">
        <f t="shared" si="11"/>
        <v>Older Adults</v>
      </c>
    </row>
    <row r="257" spans="1:13" x14ac:dyDescent="0.25">
      <c r="A257" t="s">
        <v>667</v>
      </c>
      <c r="B257" t="s">
        <v>668</v>
      </c>
      <c r="C257" s="6">
        <v>11228</v>
      </c>
      <c r="D257" t="s">
        <v>27</v>
      </c>
      <c r="E257" t="s">
        <v>51</v>
      </c>
      <c r="F257" t="s">
        <v>13</v>
      </c>
      <c r="G257" t="s">
        <v>662</v>
      </c>
      <c r="H257" s="6">
        <v>44675</v>
      </c>
      <c r="I257" s="6">
        <v>44676</v>
      </c>
      <c r="J257" s="4">
        <v>9493.17</v>
      </c>
      <c r="K257">
        <f t="shared" si="10"/>
        <v>1</v>
      </c>
      <c r="L257">
        <f t="shared" si="9"/>
        <v>91</v>
      </c>
      <c r="M257" t="str">
        <f t="shared" si="11"/>
        <v>Older Adults</v>
      </c>
    </row>
    <row r="258" spans="1:13" x14ac:dyDescent="0.25">
      <c r="A258" t="s">
        <v>669</v>
      </c>
      <c r="B258" t="s">
        <v>670</v>
      </c>
      <c r="C258" s="6">
        <v>17413</v>
      </c>
      <c r="D258" t="s">
        <v>27</v>
      </c>
      <c r="E258" t="s">
        <v>142</v>
      </c>
      <c r="F258" t="s">
        <v>110</v>
      </c>
      <c r="G258" t="s">
        <v>285</v>
      </c>
      <c r="H258" s="6">
        <v>44676</v>
      </c>
      <c r="I258" s="6">
        <v>44678</v>
      </c>
      <c r="J258" s="4">
        <v>1939.73</v>
      </c>
      <c r="K258">
        <f t="shared" si="10"/>
        <v>2</v>
      </c>
      <c r="L258">
        <f t="shared" ref="L258:L321" si="12">IF(C258&gt;H258,"Invalid DOB",DATEDIF(C258,H258,"Y"))</f>
        <v>74</v>
      </c>
      <c r="M258" t="str">
        <f t="shared" si="11"/>
        <v>Older Adults</v>
      </c>
    </row>
    <row r="259" spans="1:13" x14ac:dyDescent="0.25">
      <c r="A259" t="s">
        <v>671</v>
      </c>
      <c r="B259" t="s">
        <v>672</v>
      </c>
      <c r="C259" s="6">
        <v>26223</v>
      </c>
      <c r="D259" t="s">
        <v>27</v>
      </c>
      <c r="E259" t="s">
        <v>12</v>
      </c>
      <c r="F259" t="s">
        <v>172</v>
      </c>
      <c r="G259" t="s">
        <v>173</v>
      </c>
      <c r="H259" s="6">
        <v>44677</v>
      </c>
      <c r="I259" s="6">
        <v>44680</v>
      </c>
      <c r="J259" s="4">
        <v>5831.51</v>
      </c>
      <c r="K259">
        <f t="shared" ref="K259:K322" si="13">I259-H259</f>
        <v>3</v>
      </c>
      <c r="L259">
        <f t="shared" si="12"/>
        <v>50</v>
      </c>
      <c r="M259" t="str">
        <f t="shared" ref="M259:M322" si="14">IF(L259="Invalid DOB","Invalid DOB",IF(L259&lt;=4,"Early childhood",IF(L259&lt;=17,"Children and Adolescent",IF(L259&lt;=24,"Young Adults",IF(L259&lt;=59,"Adults","Older Adults")))))</f>
        <v>Adults</v>
      </c>
    </row>
    <row r="260" spans="1:13" x14ac:dyDescent="0.25">
      <c r="A260" t="s">
        <v>673</v>
      </c>
      <c r="B260" t="s">
        <v>674</v>
      </c>
      <c r="C260" s="6">
        <v>42864</v>
      </c>
      <c r="D260" t="s">
        <v>27</v>
      </c>
      <c r="E260" t="s">
        <v>72</v>
      </c>
      <c r="F260" t="s">
        <v>13</v>
      </c>
      <c r="G260" t="s">
        <v>74</v>
      </c>
      <c r="H260" s="6">
        <v>44678</v>
      </c>
      <c r="I260" s="6">
        <v>44697</v>
      </c>
      <c r="J260" s="4">
        <v>4879.84</v>
      </c>
      <c r="K260">
        <f t="shared" si="13"/>
        <v>19</v>
      </c>
      <c r="L260">
        <f t="shared" si="12"/>
        <v>4</v>
      </c>
      <c r="M260" t="str">
        <f t="shared" si="14"/>
        <v>Early childhood</v>
      </c>
    </row>
    <row r="261" spans="1:13" x14ac:dyDescent="0.25">
      <c r="A261" t="s">
        <v>675</v>
      </c>
      <c r="B261" t="s">
        <v>676</v>
      </c>
      <c r="C261" s="6">
        <v>42046</v>
      </c>
      <c r="D261" t="s">
        <v>11</v>
      </c>
      <c r="E261" t="s">
        <v>281</v>
      </c>
      <c r="F261" t="s">
        <v>188</v>
      </c>
      <c r="G261" t="s">
        <v>616</v>
      </c>
      <c r="H261" s="6">
        <v>44678</v>
      </c>
      <c r="I261" s="6">
        <v>44689</v>
      </c>
      <c r="J261" s="4">
        <v>36384.39</v>
      </c>
      <c r="K261">
        <f t="shared" si="13"/>
        <v>11</v>
      </c>
      <c r="L261">
        <f t="shared" si="12"/>
        <v>7</v>
      </c>
      <c r="M261" t="str">
        <f t="shared" si="14"/>
        <v>Children and Adolescent</v>
      </c>
    </row>
    <row r="262" spans="1:13" x14ac:dyDescent="0.25">
      <c r="A262" t="s">
        <v>677</v>
      </c>
      <c r="B262" t="s">
        <v>678</v>
      </c>
      <c r="C262" s="6">
        <v>35661</v>
      </c>
      <c r="D262" t="s">
        <v>11</v>
      </c>
      <c r="E262" t="s">
        <v>142</v>
      </c>
      <c r="F262" t="s">
        <v>114</v>
      </c>
      <c r="G262" t="s">
        <v>285</v>
      </c>
      <c r="H262" s="6">
        <v>44679</v>
      </c>
      <c r="I262" s="6">
        <v>44698</v>
      </c>
      <c r="J262" s="4">
        <v>771.22</v>
      </c>
      <c r="K262">
        <f t="shared" si="13"/>
        <v>19</v>
      </c>
      <c r="L262">
        <f t="shared" si="12"/>
        <v>24</v>
      </c>
      <c r="M262" t="str">
        <f t="shared" si="14"/>
        <v>Young Adults</v>
      </c>
    </row>
    <row r="263" spans="1:13" x14ac:dyDescent="0.25">
      <c r="A263" t="s">
        <v>679</v>
      </c>
      <c r="B263" t="s">
        <v>680</v>
      </c>
      <c r="C263" s="6">
        <v>43783</v>
      </c>
      <c r="D263" t="s">
        <v>27</v>
      </c>
      <c r="E263" t="s">
        <v>28</v>
      </c>
      <c r="F263" t="s">
        <v>29</v>
      </c>
      <c r="G263" t="s">
        <v>44</v>
      </c>
      <c r="H263" s="6">
        <v>44679</v>
      </c>
      <c r="I263" s="6">
        <v>44682</v>
      </c>
      <c r="J263" s="4">
        <v>29328.45</v>
      </c>
      <c r="K263">
        <f t="shared" si="13"/>
        <v>3</v>
      </c>
      <c r="L263">
        <f t="shared" si="12"/>
        <v>2</v>
      </c>
      <c r="M263" t="str">
        <f t="shared" si="14"/>
        <v>Early childhood</v>
      </c>
    </row>
    <row r="264" spans="1:13" x14ac:dyDescent="0.25">
      <c r="A264" t="s">
        <v>681</v>
      </c>
      <c r="B264" t="s">
        <v>682</v>
      </c>
      <c r="C264" s="6">
        <v>19163</v>
      </c>
      <c r="D264" t="s">
        <v>11</v>
      </c>
      <c r="E264" t="s">
        <v>22</v>
      </c>
      <c r="F264" t="s">
        <v>23</v>
      </c>
      <c r="G264" t="s">
        <v>24</v>
      </c>
      <c r="H264" s="6">
        <v>44682</v>
      </c>
      <c r="I264" s="6">
        <v>44689</v>
      </c>
      <c r="J264" s="4">
        <v>2459</v>
      </c>
      <c r="K264">
        <f t="shared" si="13"/>
        <v>7</v>
      </c>
      <c r="L264">
        <f t="shared" si="12"/>
        <v>69</v>
      </c>
      <c r="M264" t="str">
        <f t="shared" si="14"/>
        <v>Older Adults</v>
      </c>
    </row>
    <row r="265" spans="1:13" x14ac:dyDescent="0.25">
      <c r="A265" t="s">
        <v>683</v>
      </c>
      <c r="B265" t="s">
        <v>684</v>
      </c>
      <c r="C265" s="6">
        <v>31415</v>
      </c>
      <c r="D265" t="s">
        <v>11</v>
      </c>
      <c r="E265" t="s">
        <v>80</v>
      </c>
      <c r="F265" t="s">
        <v>13</v>
      </c>
      <c r="G265" t="s">
        <v>578</v>
      </c>
      <c r="H265" s="6">
        <v>44684</v>
      </c>
      <c r="I265" s="6">
        <v>44699</v>
      </c>
      <c r="J265" s="4">
        <v>14838.71</v>
      </c>
      <c r="K265">
        <f t="shared" si="13"/>
        <v>15</v>
      </c>
      <c r="L265">
        <f t="shared" si="12"/>
        <v>36</v>
      </c>
      <c r="M265" t="str">
        <f t="shared" si="14"/>
        <v>Adults</v>
      </c>
    </row>
    <row r="266" spans="1:13" x14ac:dyDescent="0.25">
      <c r="A266" t="s">
        <v>685</v>
      </c>
      <c r="B266" t="s">
        <v>686</v>
      </c>
      <c r="C266" s="6">
        <v>22570</v>
      </c>
      <c r="D266" t="s">
        <v>11</v>
      </c>
      <c r="E266" t="s">
        <v>138</v>
      </c>
      <c r="F266" t="s">
        <v>209</v>
      </c>
      <c r="G266" t="s">
        <v>143</v>
      </c>
      <c r="H266" s="6">
        <v>44684</v>
      </c>
      <c r="I266" s="6">
        <v>44688</v>
      </c>
      <c r="J266" s="4">
        <v>721.84</v>
      </c>
      <c r="K266">
        <f t="shared" si="13"/>
        <v>4</v>
      </c>
      <c r="L266">
        <f t="shared" si="12"/>
        <v>60</v>
      </c>
      <c r="M266" t="str">
        <f t="shared" si="14"/>
        <v>Older Adults</v>
      </c>
    </row>
    <row r="267" spans="1:13" x14ac:dyDescent="0.25">
      <c r="A267" t="s">
        <v>687</v>
      </c>
      <c r="B267" t="s">
        <v>688</v>
      </c>
      <c r="C267" s="6">
        <v>19136</v>
      </c>
      <c r="D267" t="s">
        <v>27</v>
      </c>
      <c r="E267" t="s">
        <v>281</v>
      </c>
      <c r="F267" t="s">
        <v>188</v>
      </c>
      <c r="G267" t="s">
        <v>437</v>
      </c>
      <c r="H267" s="6">
        <v>44685</v>
      </c>
      <c r="I267" s="6">
        <v>44696</v>
      </c>
      <c r="J267" s="4">
        <v>29504.83</v>
      </c>
      <c r="K267">
        <f t="shared" si="13"/>
        <v>11</v>
      </c>
      <c r="L267">
        <f t="shared" si="12"/>
        <v>69</v>
      </c>
      <c r="M267" t="str">
        <f t="shared" si="14"/>
        <v>Older Adults</v>
      </c>
    </row>
    <row r="268" spans="1:13" x14ac:dyDescent="0.25">
      <c r="A268" t="s">
        <v>689</v>
      </c>
      <c r="B268" t="s">
        <v>690</v>
      </c>
      <c r="C268" s="6">
        <v>27060</v>
      </c>
      <c r="D268" t="s">
        <v>11</v>
      </c>
      <c r="E268" t="s">
        <v>51</v>
      </c>
      <c r="F268" t="s">
        <v>13</v>
      </c>
      <c r="G268" t="s">
        <v>52</v>
      </c>
      <c r="H268" s="6">
        <v>44686</v>
      </c>
      <c r="I268" s="6">
        <v>44701</v>
      </c>
      <c r="J268" s="4">
        <v>7411.97</v>
      </c>
      <c r="K268">
        <f t="shared" si="13"/>
        <v>15</v>
      </c>
      <c r="L268">
        <f t="shared" si="12"/>
        <v>48</v>
      </c>
      <c r="M268" t="str">
        <f t="shared" si="14"/>
        <v>Adults</v>
      </c>
    </row>
    <row r="269" spans="1:13" x14ac:dyDescent="0.25">
      <c r="A269" t="s">
        <v>691</v>
      </c>
      <c r="B269" t="s">
        <v>692</v>
      </c>
      <c r="C269" s="6">
        <v>16186</v>
      </c>
      <c r="D269" t="s">
        <v>11</v>
      </c>
      <c r="E269" t="s">
        <v>84</v>
      </c>
      <c r="F269" t="s">
        <v>85</v>
      </c>
      <c r="G269" t="s">
        <v>238</v>
      </c>
      <c r="H269" s="6">
        <v>44687</v>
      </c>
      <c r="I269" s="6">
        <v>44713</v>
      </c>
      <c r="J269" s="4">
        <v>4782.0200000000004</v>
      </c>
      <c r="K269">
        <f t="shared" si="13"/>
        <v>26</v>
      </c>
      <c r="L269">
        <f t="shared" si="12"/>
        <v>78</v>
      </c>
      <c r="M269" t="str">
        <f t="shared" si="14"/>
        <v>Older Adults</v>
      </c>
    </row>
    <row r="270" spans="1:13" x14ac:dyDescent="0.25">
      <c r="A270" t="s">
        <v>693</v>
      </c>
      <c r="B270" t="s">
        <v>694</v>
      </c>
      <c r="C270" s="6">
        <v>24838</v>
      </c>
      <c r="D270" t="s">
        <v>11</v>
      </c>
      <c r="E270" t="s">
        <v>47</v>
      </c>
      <c r="F270" t="s">
        <v>340</v>
      </c>
      <c r="G270" t="s">
        <v>243</v>
      </c>
      <c r="H270" s="6">
        <v>44689</v>
      </c>
      <c r="I270" s="6">
        <v>44713</v>
      </c>
      <c r="J270" s="4">
        <v>4177.09</v>
      </c>
      <c r="K270">
        <f t="shared" si="13"/>
        <v>24</v>
      </c>
      <c r="L270">
        <f t="shared" si="12"/>
        <v>54</v>
      </c>
      <c r="M270" t="str">
        <f t="shared" si="14"/>
        <v>Adults</v>
      </c>
    </row>
    <row r="271" spans="1:13" x14ac:dyDescent="0.25">
      <c r="A271" t="s">
        <v>695</v>
      </c>
      <c r="B271" t="s">
        <v>696</v>
      </c>
      <c r="C271" s="6">
        <v>36995</v>
      </c>
      <c r="D271" t="s">
        <v>11</v>
      </c>
      <c r="E271" t="s">
        <v>97</v>
      </c>
      <c r="F271" t="s">
        <v>98</v>
      </c>
      <c r="G271" t="s">
        <v>132</v>
      </c>
      <c r="H271" s="6">
        <v>44689</v>
      </c>
      <c r="I271" s="6">
        <v>44707</v>
      </c>
      <c r="J271" s="4">
        <v>535.4</v>
      </c>
      <c r="K271">
        <f t="shared" si="13"/>
        <v>18</v>
      </c>
      <c r="L271">
        <f t="shared" si="12"/>
        <v>21</v>
      </c>
      <c r="M271" t="str">
        <f t="shared" si="14"/>
        <v>Young Adults</v>
      </c>
    </row>
    <row r="272" spans="1:13" x14ac:dyDescent="0.25">
      <c r="A272" t="s">
        <v>697</v>
      </c>
      <c r="B272" t="s">
        <v>698</v>
      </c>
      <c r="C272" s="6">
        <v>26166</v>
      </c>
      <c r="D272" t="s">
        <v>11</v>
      </c>
      <c r="E272" t="s">
        <v>302</v>
      </c>
      <c r="F272" t="s">
        <v>13</v>
      </c>
      <c r="G272" t="s">
        <v>408</v>
      </c>
      <c r="H272" s="6">
        <v>44690</v>
      </c>
      <c r="I272" s="6">
        <v>44701</v>
      </c>
      <c r="J272" s="4">
        <v>19190.59</v>
      </c>
      <c r="K272">
        <f t="shared" si="13"/>
        <v>11</v>
      </c>
      <c r="L272">
        <f t="shared" si="12"/>
        <v>50</v>
      </c>
      <c r="M272" t="str">
        <f t="shared" si="14"/>
        <v>Adults</v>
      </c>
    </row>
    <row r="273" spans="1:13" x14ac:dyDescent="0.25">
      <c r="A273" t="s">
        <v>699</v>
      </c>
      <c r="B273" t="s">
        <v>700</v>
      </c>
      <c r="C273" s="6">
        <v>20620</v>
      </c>
      <c r="D273" t="s">
        <v>11</v>
      </c>
      <c r="E273" t="s">
        <v>152</v>
      </c>
      <c r="F273" t="s">
        <v>13</v>
      </c>
      <c r="G273" t="s">
        <v>195</v>
      </c>
      <c r="H273" s="6">
        <v>44690</v>
      </c>
      <c r="I273" s="6">
        <v>44718</v>
      </c>
      <c r="J273" s="4">
        <v>14759.68</v>
      </c>
      <c r="K273">
        <f t="shared" si="13"/>
        <v>28</v>
      </c>
      <c r="L273">
        <f t="shared" si="12"/>
        <v>65</v>
      </c>
      <c r="M273" t="str">
        <f t="shared" si="14"/>
        <v>Older Adults</v>
      </c>
    </row>
    <row r="274" spans="1:13" x14ac:dyDescent="0.25">
      <c r="A274" t="s">
        <v>701</v>
      </c>
      <c r="B274" t="s">
        <v>702</v>
      </c>
      <c r="C274" s="6">
        <v>25030</v>
      </c>
      <c r="D274" t="s">
        <v>27</v>
      </c>
      <c r="E274" t="s">
        <v>271</v>
      </c>
      <c r="F274" t="s">
        <v>299</v>
      </c>
      <c r="G274" t="s">
        <v>313</v>
      </c>
      <c r="H274" s="6">
        <v>44690</v>
      </c>
      <c r="I274" s="6">
        <v>44694</v>
      </c>
      <c r="J274" s="4">
        <v>738.39</v>
      </c>
      <c r="K274">
        <f t="shared" si="13"/>
        <v>4</v>
      </c>
      <c r="L274">
        <f t="shared" si="12"/>
        <v>53</v>
      </c>
      <c r="M274" t="str">
        <f t="shared" si="14"/>
        <v>Adults</v>
      </c>
    </row>
    <row r="275" spans="1:13" x14ac:dyDescent="0.25">
      <c r="A275" t="s">
        <v>703</v>
      </c>
      <c r="B275" t="s">
        <v>704</v>
      </c>
      <c r="C275" s="6">
        <v>44293</v>
      </c>
      <c r="D275" t="s">
        <v>11</v>
      </c>
      <c r="E275" t="s">
        <v>163</v>
      </c>
      <c r="F275" t="s">
        <v>164</v>
      </c>
      <c r="G275" t="s">
        <v>233</v>
      </c>
      <c r="H275" s="6">
        <v>44690</v>
      </c>
      <c r="I275" s="6">
        <v>44713</v>
      </c>
      <c r="J275" s="4">
        <v>14693.26</v>
      </c>
      <c r="K275">
        <f t="shared" si="13"/>
        <v>23</v>
      </c>
      <c r="L275">
        <f t="shared" si="12"/>
        <v>1</v>
      </c>
      <c r="M275" t="str">
        <f t="shared" si="14"/>
        <v>Early childhood</v>
      </c>
    </row>
    <row r="276" spans="1:13" x14ac:dyDescent="0.25">
      <c r="A276" t="s">
        <v>705</v>
      </c>
      <c r="B276" t="s">
        <v>706</v>
      </c>
      <c r="C276" s="6">
        <v>41710</v>
      </c>
      <c r="D276" t="s">
        <v>27</v>
      </c>
      <c r="E276" t="s">
        <v>80</v>
      </c>
      <c r="F276" t="s">
        <v>13</v>
      </c>
      <c r="G276" t="s">
        <v>444</v>
      </c>
      <c r="H276" s="6">
        <v>44691</v>
      </c>
      <c r="I276" s="6">
        <v>44710</v>
      </c>
      <c r="J276" s="4">
        <v>12837.81</v>
      </c>
      <c r="K276">
        <f t="shared" si="13"/>
        <v>19</v>
      </c>
      <c r="L276">
        <f t="shared" si="12"/>
        <v>8</v>
      </c>
      <c r="M276" t="str">
        <f t="shared" si="14"/>
        <v>Children and Adolescent</v>
      </c>
    </row>
    <row r="277" spans="1:13" x14ac:dyDescent="0.25">
      <c r="A277" t="s">
        <v>707</v>
      </c>
      <c r="B277" t="s">
        <v>708</v>
      </c>
      <c r="C277" s="6">
        <v>43671</v>
      </c>
      <c r="D277" t="s">
        <v>11</v>
      </c>
      <c r="E277" t="s">
        <v>127</v>
      </c>
      <c r="F277" t="s">
        <v>156</v>
      </c>
      <c r="G277" t="s">
        <v>157</v>
      </c>
      <c r="H277" s="6">
        <v>44692</v>
      </c>
      <c r="I277" s="6">
        <v>44713</v>
      </c>
      <c r="J277" s="4">
        <v>911.41</v>
      </c>
      <c r="K277">
        <f t="shared" si="13"/>
        <v>21</v>
      </c>
      <c r="L277">
        <f t="shared" si="12"/>
        <v>2</v>
      </c>
      <c r="M277" t="str">
        <f t="shared" si="14"/>
        <v>Early childhood</v>
      </c>
    </row>
    <row r="278" spans="1:13" x14ac:dyDescent="0.25">
      <c r="A278" t="s">
        <v>709</v>
      </c>
      <c r="B278" t="s">
        <v>710</v>
      </c>
      <c r="C278" s="6">
        <v>18159</v>
      </c>
      <c r="D278" t="s">
        <v>11</v>
      </c>
      <c r="E278" t="s">
        <v>187</v>
      </c>
      <c r="F278" t="s">
        <v>13</v>
      </c>
      <c r="G278" t="s">
        <v>192</v>
      </c>
      <c r="H278" s="6">
        <v>44694</v>
      </c>
      <c r="I278" s="6">
        <v>44695</v>
      </c>
      <c r="J278" s="4">
        <v>13872.07</v>
      </c>
      <c r="K278">
        <f t="shared" si="13"/>
        <v>1</v>
      </c>
      <c r="L278">
        <f t="shared" si="12"/>
        <v>72</v>
      </c>
      <c r="M278" t="str">
        <f t="shared" si="14"/>
        <v>Older Adults</v>
      </c>
    </row>
    <row r="279" spans="1:13" x14ac:dyDescent="0.25">
      <c r="A279" t="s">
        <v>711</v>
      </c>
      <c r="B279" t="s">
        <v>712</v>
      </c>
      <c r="C279" s="6">
        <v>17688</v>
      </c>
      <c r="D279" t="s">
        <v>11</v>
      </c>
      <c r="E279" t="s">
        <v>47</v>
      </c>
      <c r="F279" t="s">
        <v>29</v>
      </c>
      <c r="G279" t="s">
        <v>48</v>
      </c>
      <c r="H279" s="6">
        <v>44695</v>
      </c>
      <c r="I279" s="6">
        <v>44711</v>
      </c>
      <c r="J279" s="4">
        <v>3252.5</v>
      </c>
      <c r="K279">
        <f t="shared" si="13"/>
        <v>16</v>
      </c>
      <c r="L279">
        <f t="shared" si="12"/>
        <v>73</v>
      </c>
      <c r="M279" t="str">
        <f t="shared" si="14"/>
        <v>Older Adults</v>
      </c>
    </row>
    <row r="280" spans="1:13" x14ac:dyDescent="0.25">
      <c r="A280" t="s">
        <v>713</v>
      </c>
      <c r="B280" t="s">
        <v>714</v>
      </c>
      <c r="C280" s="6">
        <v>14893</v>
      </c>
      <c r="D280" t="s">
        <v>11</v>
      </c>
      <c r="E280" t="s">
        <v>55</v>
      </c>
      <c r="F280" t="s">
        <v>217</v>
      </c>
      <c r="G280" t="s">
        <v>57</v>
      </c>
      <c r="H280" s="6">
        <v>44695</v>
      </c>
      <c r="I280" s="6">
        <v>44713</v>
      </c>
      <c r="J280" s="4">
        <v>3400.4</v>
      </c>
      <c r="K280">
        <f t="shared" si="13"/>
        <v>18</v>
      </c>
      <c r="L280">
        <f t="shared" si="12"/>
        <v>81</v>
      </c>
      <c r="M280" t="str">
        <f t="shared" si="14"/>
        <v>Older Adults</v>
      </c>
    </row>
    <row r="281" spans="1:13" x14ac:dyDescent="0.25">
      <c r="A281" t="s">
        <v>715</v>
      </c>
      <c r="B281" t="s">
        <v>716</v>
      </c>
      <c r="C281" s="6">
        <v>37677</v>
      </c>
      <c r="D281" t="s">
        <v>11</v>
      </c>
      <c r="E281" t="s">
        <v>38</v>
      </c>
      <c r="F281" t="s">
        <v>39</v>
      </c>
      <c r="G281" t="s">
        <v>40</v>
      </c>
      <c r="H281" s="6">
        <v>44695</v>
      </c>
      <c r="I281" s="6">
        <v>44725</v>
      </c>
      <c r="J281" s="4">
        <v>3071.12</v>
      </c>
      <c r="K281">
        <f t="shared" si="13"/>
        <v>30</v>
      </c>
      <c r="L281">
        <f t="shared" si="12"/>
        <v>19</v>
      </c>
      <c r="M281" t="str">
        <f t="shared" si="14"/>
        <v>Young Adults</v>
      </c>
    </row>
    <row r="282" spans="1:13" x14ac:dyDescent="0.25">
      <c r="A282" t="s">
        <v>717</v>
      </c>
      <c r="B282" t="s">
        <v>718</v>
      </c>
      <c r="C282" s="6">
        <v>31305</v>
      </c>
      <c r="D282" t="s">
        <v>11</v>
      </c>
      <c r="E282" t="s">
        <v>22</v>
      </c>
      <c r="F282" t="s">
        <v>110</v>
      </c>
      <c r="G282" t="s">
        <v>107</v>
      </c>
      <c r="H282" s="6">
        <v>44695</v>
      </c>
      <c r="I282" s="6">
        <v>44714</v>
      </c>
      <c r="J282" s="4">
        <v>1792.52</v>
      </c>
      <c r="K282">
        <f t="shared" si="13"/>
        <v>19</v>
      </c>
      <c r="L282">
        <f t="shared" si="12"/>
        <v>36</v>
      </c>
      <c r="M282" t="str">
        <f t="shared" si="14"/>
        <v>Adults</v>
      </c>
    </row>
    <row r="283" spans="1:13" x14ac:dyDescent="0.25">
      <c r="A283" t="s">
        <v>719</v>
      </c>
      <c r="B283" t="s">
        <v>720</v>
      </c>
      <c r="C283" s="6">
        <v>38738</v>
      </c>
      <c r="D283" t="s">
        <v>11</v>
      </c>
      <c r="E283" t="s">
        <v>65</v>
      </c>
      <c r="F283" t="s">
        <v>114</v>
      </c>
      <c r="G283" t="s">
        <v>66</v>
      </c>
      <c r="H283" s="6">
        <v>44698</v>
      </c>
      <c r="I283" s="6">
        <v>44706</v>
      </c>
      <c r="J283" s="4">
        <v>339.23</v>
      </c>
      <c r="K283">
        <f t="shared" si="13"/>
        <v>8</v>
      </c>
      <c r="L283">
        <f t="shared" si="12"/>
        <v>16</v>
      </c>
      <c r="M283" t="str">
        <f t="shared" si="14"/>
        <v>Children and Adolescent</v>
      </c>
    </row>
    <row r="284" spans="1:13" x14ac:dyDescent="0.25">
      <c r="A284" t="s">
        <v>721</v>
      </c>
      <c r="B284" t="s">
        <v>722</v>
      </c>
      <c r="C284" s="6">
        <v>34027</v>
      </c>
      <c r="D284" t="s">
        <v>27</v>
      </c>
      <c r="E284" t="s">
        <v>281</v>
      </c>
      <c r="F284" t="s">
        <v>188</v>
      </c>
      <c r="G284" t="s">
        <v>282</v>
      </c>
      <c r="H284" s="6">
        <v>44699</v>
      </c>
      <c r="I284" s="6">
        <v>44711</v>
      </c>
      <c r="J284" s="4">
        <v>31356.48</v>
      </c>
      <c r="K284">
        <f t="shared" si="13"/>
        <v>12</v>
      </c>
      <c r="L284">
        <f t="shared" si="12"/>
        <v>29</v>
      </c>
      <c r="M284" t="str">
        <f t="shared" si="14"/>
        <v>Adults</v>
      </c>
    </row>
    <row r="285" spans="1:13" x14ac:dyDescent="0.25">
      <c r="A285" t="s">
        <v>723</v>
      </c>
      <c r="B285" t="s">
        <v>724</v>
      </c>
      <c r="C285" s="6">
        <v>26699</v>
      </c>
      <c r="D285" t="s">
        <v>11</v>
      </c>
      <c r="E285" t="s">
        <v>152</v>
      </c>
      <c r="F285" t="s">
        <v>13</v>
      </c>
      <c r="G285" t="s">
        <v>195</v>
      </c>
      <c r="H285" s="6">
        <v>44699</v>
      </c>
      <c r="I285" s="6">
        <v>44713</v>
      </c>
      <c r="J285" s="4">
        <v>7984.33</v>
      </c>
      <c r="K285">
        <f t="shared" si="13"/>
        <v>14</v>
      </c>
      <c r="L285">
        <f t="shared" si="12"/>
        <v>49</v>
      </c>
      <c r="M285" t="str">
        <f t="shared" si="14"/>
        <v>Adults</v>
      </c>
    </row>
    <row r="286" spans="1:13" x14ac:dyDescent="0.25">
      <c r="A286" t="s">
        <v>725</v>
      </c>
      <c r="B286" t="s">
        <v>726</v>
      </c>
      <c r="C286" s="6">
        <v>36362</v>
      </c>
      <c r="D286" t="s">
        <v>27</v>
      </c>
      <c r="E286" t="s">
        <v>55</v>
      </c>
      <c r="F286" t="s">
        <v>56</v>
      </c>
      <c r="G286" t="s">
        <v>228</v>
      </c>
      <c r="H286" s="6">
        <v>44702</v>
      </c>
      <c r="I286" s="6">
        <v>44713</v>
      </c>
      <c r="J286" s="4">
        <v>2028.65</v>
      </c>
      <c r="K286">
        <f t="shared" si="13"/>
        <v>11</v>
      </c>
      <c r="L286">
        <f t="shared" si="12"/>
        <v>22</v>
      </c>
      <c r="M286" t="str">
        <f t="shared" si="14"/>
        <v>Young Adults</v>
      </c>
    </row>
    <row r="287" spans="1:13" x14ac:dyDescent="0.25">
      <c r="A287" t="s">
        <v>727</v>
      </c>
      <c r="B287" t="s">
        <v>728</v>
      </c>
      <c r="C287" s="6">
        <v>45321</v>
      </c>
      <c r="D287" t="s">
        <v>11</v>
      </c>
      <c r="E287" t="s">
        <v>138</v>
      </c>
      <c r="F287" t="s">
        <v>209</v>
      </c>
      <c r="G287" t="s">
        <v>143</v>
      </c>
      <c r="H287" s="6">
        <v>44705</v>
      </c>
      <c r="I287" s="6">
        <v>44720</v>
      </c>
      <c r="J287" s="4">
        <v>2623.46</v>
      </c>
      <c r="K287">
        <f t="shared" si="13"/>
        <v>15</v>
      </c>
      <c r="L287" t="str">
        <f t="shared" si="12"/>
        <v>Invalid DOB</v>
      </c>
      <c r="M287" t="str">
        <f t="shared" si="14"/>
        <v>Invalid DOB</v>
      </c>
    </row>
    <row r="288" spans="1:13" x14ac:dyDescent="0.25">
      <c r="A288" t="s">
        <v>729</v>
      </c>
      <c r="B288" t="s">
        <v>730</v>
      </c>
      <c r="C288" s="6">
        <v>31545</v>
      </c>
      <c r="D288" t="s">
        <v>11</v>
      </c>
      <c r="E288" t="s">
        <v>51</v>
      </c>
      <c r="F288" t="s">
        <v>29</v>
      </c>
      <c r="G288" t="s">
        <v>662</v>
      </c>
      <c r="H288" s="6">
        <v>44705</v>
      </c>
      <c r="I288" s="6">
        <v>44714</v>
      </c>
      <c r="J288" s="4">
        <v>7056.87</v>
      </c>
      <c r="K288">
        <f t="shared" si="13"/>
        <v>9</v>
      </c>
      <c r="L288">
        <f t="shared" si="12"/>
        <v>36</v>
      </c>
      <c r="M288" t="str">
        <f t="shared" si="14"/>
        <v>Adults</v>
      </c>
    </row>
    <row r="289" spans="1:13" x14ac:dyDescent="0.25">
      <c r="A289" t="s">
        <v>731</v>
      </c>
      <c r="B289" t="s">
        <v>732</v>
      </c>
      <c r="C289" s="6">
        <v>20976</v>
      </c>
      <c r="D289" t="s">
        <v>27</v>
      </c>
      <c r="E289" t="s">
        <v>138</v>
      </c>
      <c r="F289" t="s">
        <v>209</v>
      </c>
      <c r="G289" t="s">
        <v>143</v>
      </c>
      <c r="H289" s="6">
        <v>44707</v>
      </c>
      <c r="I289" s="6">
        <v>44723</v>
      </c>
      <c r="J289" s="4">
        <v>2413.4699999999998</v>
      </c>
      <c r="K289">
        <f t="shared" si="13"/>
        <v>16</v>
      </c>
      <c r="L289">
        <f t="shared" si="12"/>
        <v>64</v>
      </c>
      <c r="M289" t="str">
        <f t="shared" si="14"/>
        <v>Older Adults</v>
      </c>
    </row>
    <row r="290" spans="1:13" x14ac:dyDescent="0.25">
      <c r="A290" t="s">
        <v>733</v>
      </c>
      <c r="B290" t="s">
        <v>734</v>
      </c>
      <c r="C290" s="6">
        <v>24364</v>
      </c>
      <c r="D290" t="s">
        <v>11</v>
      </c>
      <c r="E290" t="s">
        <v>72</v>
      </c>
      <c r="F290" t="s">
        <v>73</v>
      </c>
      <c r="G290" t="s">
        <v>331</v>
      </c>
      <c r="H290" s="6">
        <v>44707</v>
      </c>
      <c r="I290" s="6">
        <v>44734</v>
      </c>
      <c r="J290" s="4">
        <v>6496.06</v>
      </c>
      <c r="K290">
        <f t="shared" si="13"/>
        <v>27</v>
      </c>
      <c r="L290">
        <f t="shared" si="12"/>
        <v>55</v>
      </c>
      <c r="M290" t="str">
        <f t="shared" si="14"/>
        <v>Adults</v>
      </c>
    </row>
    <row r="291" spans="1:13" x14ac:dyDescent="0.25">
      <c r="A291" t="s">
        <v>735</v>
      </c>
      <c r="B291" t="s">
        <v>736</v>
      </c>
      <c r="C291" s="6">
        <v>14880</v>
      </c>
      <c r="D291" t="s">
        <v>27</v>
      </c>
      <c r="E291" t="s">
        <v>17</v>
      </c>
      <c r="F291" t="s">
        <v>34</v>
      </c>
      <c r="G291" t="s">
        <v>135</v>
      </c>
      <c r="H291" s="6">
        <v>44708</v>
      </c>
      <c r="I291" s="6">
        <v>44717</v>
      </c>
      <c r="J291" s="4">
        <v>1444.81</v>
      </c>
      <c r="K291">
        <f t="shared" si="13"/>
        <v>9</v>
      </c>
      <c r="L291">
        <f t="shared" si="12"/>
        <v>81</v>
      </c>
      <c r="M291" t="str">
        <f t="shared" si="14"/>
        <v>Older Adults</v>
      </c>
    </row>
    <row r="292" spans="1:13" x14ac:dyDescent="0.25">
      <c r="A292" t="s">
        <v>737</v>
      </c>
      <c r="B292" t="s">
        <v>738</v>
      </c>
      <c r="C292" s="6">
        <v>36860</v>
      </c>
      <c r="D292" t="s">
        <v>27</v>
      </c>
      <c r="E292" t="s">
        <v>33</v>
      </c>
      <c r="F292" t="s">
        <v>34</v>
      </c>
      <c r="G292" t="s">
        <v>378</v>
      </c>
      <c r="H292" s="6">
        <v>44709</v>
      </c>
      <c r="I292" s="6">
        <v>44736</v>
      </c>
      <c r="J292" s="4">
        <v>1275.3499999999999</v>
      </c>
      <c r="K292">
        <f t="shared" si="13"/>
        <v>27</v>
      </c>
      <c r="L292">
        <f t="shared" si="12"/>
        <v>21</v>
      </c>
      <c r="M292" t="str">
        <f t="shared" si="14"/>
        <v>Young Adults</v>
      </c>
    </row>
    <row r="293" spans="1:13" x14ac:dyDescent="0.25">
      <c r="A293" t="s">
        <v>739</v>
      </c>
      <c r="B293" t="s">
        <v>740</v>
      </c>
      <c r="C293" s="6">
        <v>37490</v>
      </c>
      <c r="D293" t="s">
        <v>11</v>
      </c>
      <c r="E293" t="s">
        <v>362</v>
      </c>
      <c r="F293" t="s">
        <v>172</v>
      </c>
      <c r="G293" t="s">
        <v>659</v>
      </c>
      <c r="H293" s="6">
        <v>44711</v>
      </c>
      <c r="I293" s="6">
        <v>44713</v>
      </c>
      <c r="J293" s="4">
        <v>10525.4</v>
      </c>
      <c r="K293">
        <f t="shared" si="13"/>
        <v>2</v>
      </c>
      <c r="L293">
        <f t="shared" si="12"/>
        <v>19</v>
      </c>
      <c r="M293" t="str">
        <f t="shared" si="14"/>
        <v>Young Adults</v>
      </c>
    </row>
    <row r="294" spans="1:13" x14ac:dyDescent="0.25">
      <c r="A294" t="s">
        <v>741</v>
      </c>
      <c r="B294" t="s">
        <v>742</v>
      </c>
      <c r="C294" s="6">
        <v>39318</v>
      </c>
      <c r="D294" t="s">
        <v>11</v>
      </c>
      <c r="E294" t="s">
        <v>152</v>
      </c>
      <c r="F294" t="s">
        <v>56</v>
      </c>
      <c r="G294" t="s">
        <v>153</v>
      </c>
      <c r="H294" s="6">
        <v>44714</v>
      </c>
      <c r="I294" s="6">
        <v>44739</v>
      </c>
      <c r="J294" s="4">
        <v>7599.84</v>
      </c>
      <c r="K294">
        <f t="shared" si="13"/>
        <v>25</v>
      </c>
      <c r="L294">
        <f t="shared" si="12"/>
        <v>14</v>
      </c>
      <c r="M294" t="str">
        <f t="shared" si="14"/>
        <v>Children and Adolescent</v>
      </c>
    </row>
    <row r="295" spans="1:13" x14ac:dyDescent="0.25">
      <c r="A295" t="s">
        <v>743</v>
      </c>
      <c r="B295" t="s">
        <v>744</v>
      </c>
      <c r="C295" s="6">
        <v>22632</v>
      </c>
      <c r="D295" t="s">
        <v>11</v>
      </c>
      <c r="E295" t="s">
        <v>152</v>
      </c>
      <c r="F295" t="s">
        <v>13</v>
      </c>
      <c r="G295" t="s">
        <v>195</v>
      </c>
      <c r="H295" s="6">
        <v>44714</v>
      </c>
      <c r="I295" s="6">
        <v>44742</v>
      </c>
      <c r="J295" s="4">
        <v>15829.2</v>
      </c>
      <c r="K295">
        <f t="shared" si="13"/>
        <v>28</v>
      </c>
      <c r="L295">
        <f t="shared" si="12"/>
        <v>60</v>
      </c>
      <c r="M295" t="str">
        <f t="shared" si="14"/>
        <v>Older Adults</v>
      </c>
    </row>
    <row r="296" spans="1:13" x14ac:dyDescent="0.25">
      <c r="A296" t="s">
        <v>745</v>
      </c>
      <c r="B296" t="s">
        <v>746</v>
      </c>
      <c r="C296" s="6">
        <v>11203</v>
      </c>
      <c r="D296" t="s">
        <v>11</v>
      </c>
      <c r="E296" t="s">
        <v>302</v>
      </c>
      <c r="F296" t="s">
        <v>29</v>
      </c>
      <c r="G296" t="s">
        <v>303</v>
      </c>
      <c r="H296" s="6">
        <v>44715</v>
      </c>
      <c r="I296" s="6">
        <v>44728</v>
      </c>
      <c r="J296" s="4">
        <v>11665</v>
      </c>
      <c r="K296">
        <f t="shared" si="13"/>
        <v>13</v>
      </c>
      <c r="L296">
        <f t="shared" si="12"/>
        <v>91</v>
      </c>
      <c r="M296" t="str">
        <f t="shared" si="14"/>
        <v>Older Adults</v>
      </c>
    </row>
    <row r="297" spans="1:13" x14ac:dyDescent="0.25">
      <c r="A297" t="s">
        <v>747</v>
      </c>
      <c r="B297" t="s">
        <v>748</v>
      </c>
      <c r="C297" s="6">
        <v>35985</v>
      </c>
      <c r="D297" t="s">
        <v>27</v>
      </c>
      <c r="E297" t="s">
        <v>47</v>
      </c>
      <c r="F297" t="s">
        <v>29</v>
      </c>
      <c r="G297" t="s">
        <v>243</v>
      </c>
      <c r="H297" s="6">
        <v>44715</v>
      </c>
      <c r="I297" s="6">
        <v>44736</v>
      </c>
      <c r="J297" s="4">
        <v>5998.63</v>
      </c>
      <c r="K297">
        <f t="shared" si="13"/>
        <v>21</v>
      </c>
      <c r="L297">
        <f t="shared" si="12"/>
        <v>23</v>
      </c>
      <c r="M297" t="str">
        <f t="shared" si="14"/>
        <v>Young Adults</v>
      </c>
    </row>
    <row r="298" spans="1:13" x14ac:dyDescent="0.25">
      <c r="A298" t="s">
        <v>749</v>
      </c>
      <c r="B298" t="s">
        <v>750</v>
      </c>
      <c r="C298" s="6">
        <v>18479</v>
      </c>
      <c r="D298" t="s">
        <v>11</v>
      </c>
      <c r="E298" t="s">
        <v>281</v>
      </c>
      <c r="F298" t="s">
        <v>13</v>
      </c>
      <c r="G298" t="s">
        <v>282</v>
      </c>
      <c r="H298" s="6">
        <v>44718</v>
      </c>
      <c r="I298" s="6">
        <v>44723</v>
      </c>
      <c r="J298" s="4">
        <v>30759.48</v>
      </c>
      <c r="K298">
        <f t="shared" si="13"/>
        <v>5</v>
      </c>
      <c r="L298">
        <f t="shared" si="12"/>
        <v>71</v>
      </c>
      <c r="M298" t="str">
        <f t="shared" si="14"/>
        <v>Older Adults</v>
      </c>
    </row>
    <row r="299" spans="1:13" x14ac:dyDescent="0.25">
      <c r="A299" t="s">
        <v>751</v>
      </c>
      <c r="B299" t="s">
        <v>752</v>
      </c>
      <c r="C299" s="6">
        <v>27523</v>
      </c>
      <c r="D299" t="s">
        <v>27</v>
      </c>
      <c r="E299" t="s">
        <v>28</v>
      </c>
      <c r="F299" t="s">
        <v>43</v>
      </c>
      <c r="G299" t="s">
        <v>124</v>
      </c>
      <c r="H299" s="6">
        <v>44718</v>
      </c>
      <c r="I299" s="6">
        <v>44725</v>
      </c>
      <c r="J299" s="4">
        <v>21456.46</v>
      </c>
      <c r="K299">
        <f t="shared" si="13"/>
        <v>7</v>
      </c>
      <c r="L299">
        <f t="shared" si="12"/>
        <v>47</v>
      </c>
      <c r="M299" t="str">
        <f t="shared" si="14"/>
        <v>Adults</v>
      </c>
    </row>
    <row r="300" spans="1:13" x14ac:dyDescent="0.25">
      <c r="A300" t="s">
        <v>753</v>
      </c>
      <c r="B300" t="s">
        <v>754</v>
      </c>
      <c r="C300" s="6">
        <v>31538</v>
      </c>
      <c r="D300" t="s">
        <v>11</v>
      </c>
      <c r="E300" t="s">
        <v>84</v>
      </c>
      <c r="F300" t="s">
        <v>85</v>
      </c>
      <c r="G300" t="s">
        <v>238</v>
      </c>
      <c r="H300" s="6">
        <v>44719</v>
      </c>
      <c r="I300" s="6">
        <v>44725</v>
      </c>
      <c r="J300" s="4">
        <v>3049.78</v>
      </c>
      <c r="K300">
        <f t="shared" si="13"/>
        <v>6</v>
      </c>
      <c r="L300">
        <f t="shared" si="12"/>
        <v>36</v>
      </c>
      <c r="M300" t="str">
        <f t="shared" si="14"/>
        <v>Adults</v>
      </c>
    </row>
    <row r="301" spans="1:13" x14ac:dyDescent="0.25">
      <c r="A301" t="s">
        <v>755</v>
      </c>
      <c r="B301" t="s">
        <v>756</v>
      </c>
      <c r="C301" s="6">
        <v>40010</v>
      </c>
      <c r="D301" t="s">
        <v>27</v>
      </c>
      <c r="E301" t="s">
        <v>92</v>
      </c>
      <c r="F301" t="s">
        <v>93</v>
      </c>
      <c r="G301" t="s">
        <v>94</v>
      </c>
      <c r="H301" s="6">
        <v>44720</v>
      </c>
      <c r="I301" s="6">
        <v>44746</v>
      </c>
      <c r="J301" s="4">
        <v>1507.93</v>
      </c>
      <c r="K301">
        <f t="shared" si="13"/>
        <v>26</v>
      </c>
      <c r="L301">
        <f t="shared" si="12"/>
        <v>12</v>
      </c>
      <c r="M301" t="str">
        <f t="shared" si="14"/>
        <v>Children and Adolescent</v>
      </c>
    </row>
    <row r="302" spans="1:13" x14ac:dyDescent="0.25">
      <c r="A302" t="s">
        <v>757</v>
      </c>
      <c r="B302" t="s">
        <v>758</v>
      </c>
      <c r="C302" s="6">
        <v>34246</v>
      </c>
      <c r="D302" t="s">
        <v>27</v>
      </c>
      <c r="E302" t="s">
        <v>163</v>
      </c>
      <c r="F302" t="s">
        <v>164</v>
      </c>
      <c r="G302" t="s">
        <v>759</v>
      </c>
      <c r="H302" s="6">
        <v>44722</v>
      </c>
      <c r="I302" s="6">
        <v>44749</v>
      </c>
      <c r="J302" s="4">
        <v>18443.47</v>
      </c>
      <c r="K302">
        <f t="shared" si="13"/>
        <v>27</v>
      </c>
      <c r="L302">
        <f t="shared" si="12"/>
        <v>28</v>
      </c>
      <c r="M302" t="str">
        <f t="shared" si="14"/>
        <v>Adults</v>
      </c>
    </row>
    <row r="303" spans="1:13" x14ac:dyDescent="0.25">
      <c r="A303" t="s">
        <v>760</v>
      </c>
      <c r="B303" t="s">
        <v>761</v>
      </c>
      <c r="C303" s="6">
        <v>23628</v>
      </c>
      <c r="D303" t="s">
        <v>11</v>
      </c>
      <c r="E303" t="s">
        <v>17</v>
      </c>
      <c r="F303" t="s">
        <v>34</v>
      </c>
      <c r="G303" t="s">
        <v>318</v>
      </c>
      <c r="H303" s="6">
        <v>44723</v>
      </c>
      <c r="I303" s="6">
        <v>44728</v>
      </c>
      <c r="J303" s="4">
        <v>1595.83</v>
      </c>
      <c r="K303">
        <f t="shared" si="13"/>
        <v>5</v>
      </c>
      <c r="L303">
        <f t="shared" si="12"/>
        <v>57</v>
      </c>
      <c r="M303" t="str">
        <f t="shared" si="14"/>
        <v>Adults</v>
      </c>
    </row>
    <row r="304" spans="1:13" x14ac:dyDescent="0.25">
      <c r="A304" t="s">
        <v>762</v>
      </c>
      <c r="B304" t="s">
        <v>763</v>
      </c>
      <c r="C304" s="6">
        <v>30448</v>
      </c>
      <c r="D304" t="s">
        <v>11</v>
      </c>
      <c r="E304" t="s">
        <v>138</v>
      </c>
      <c r="F304" t="s">
        <v>209</v>
      </c>
      <c r="G304" t="s">
        <v>143</v>
      </c>
      <c r="H304" s="6">
        <v>44723</v>
      </c>
      <c r="I304" s="6">
        <v>44753</v>
      </c>
      <c r="J304" s="4">
        <v>1841.93</v>
      </c>
      <c r="K304">
        <f t="shared" si="13"/>
        <v>30</v>
      </c>
      <c r="L304">
        <f t="shared" si="12"/>
        <v>39</v>
      </c>
      <c r="M304" t="str">
        <f t="shared" si="14"/>
        <v>Adults</v>
      </c>
    </row>
    <row r="305" spans="1:13" x14ac:dyDescent="0.25">
      <c r="A305" t="s">
        <v>764</v>
      </c>
      <c r="B305" t="s">
        <v>765</v>
      </c>
      <c r="C305" s="6">
        <v>42784</v>
      </c>
      <c r="D305" t="s">
        <v>11</v>
      </c>
      <c r="E305" t="s">
        <v>362</v>
      </c>
      <c r="F305" t="s">
        <v>172</v>
      </c>
      <c r="G305" t="s">
        <v>363</v>
      </c>
      <c r="H305" s="6">
        <v>44724</v>
      </c>
      <c r="I305" s="6">
        <v>44737</v>
      </c>
      <c r="J305" s="4">
        <v>17521.400000000001</v>
      </c>
      <c r="K305">
        <f t="shared" si="13"/>
        <v>13</v>
      </c>
      <c r="L305">
        <f t="shared" si="12"/>
        <v>5</v>
      </c>
      <c r="M305" t="str">
        <f t="shared" si="14"/>
        <v>Children and Adolescent</v>
      </c>
    </row>
    <row r="306" spans="1:13" x14ac:dyDescent="0.25">
      <c r="A306" t="s">
        <v>766</v>
      </c>
      <c r="B306" t="s">
        <v>284</v>
      </c>
      <c r="C306" s="6">
        <v>28367</v>
      </c>
      <c r="D306" t="s">
        <v>11</v>
      </c>
      <c r="E306" t="s">
        <v>60</v>
      </c>
      <c r="F306" t="s">
        <v>188</v>
      </c>
      <c r="G306" t="s">
        <v>62</v>
      </c>
      <c r="H306" s="6">
        <v>44728</v>
      </c>
      <c r="I306" s="6">
        <v>44741</v>
      </c>
      <c r="J306" s="4">
        <v>91310.99</v>
      </c>
      <c r="K306">
        <f t="shared" si="13"/>
        <v>13</v>
      </c>
      <c r="L306">
        <f t="shared" si="12"/>
        <v>44</v>
      </c>
      <c r="M306" t="str">
        <f t="shared" si="14"/>
        <v>Adults</v>
      </c>
    </row>
    <row r="307" spans="1:13" x14ac:dyDescent="0.25">
      <c r="A307" t="s">
        <v>767</v>
      </c>
      <c r="B307" t="s">
        <v>768</v>
      </c>
      <c r="C307" s="6">
        <v>34511</v>
      </c>
      <c r="D307" t="s">
        <v>27</v>
      </c>
      <c r="E307" t="s">
        <v>84</v>
      </c>
      <c r="F307" t="s">
        <v>85</v>
      </c>
      <c r="G307" t="s">
        <v>254</v>
      </c>
      <c r="H307" s="6">
        <v>44729</v>
      </c>
      <c r="I307" s="6">
        <v>44750</v>
      </c>
      <c r="J307" s="4">
        <v>2940.66</v>
      </c>
      <c r="K307">
        <f t="shared" si="13"/>
        <v>21</v>
      </c>
      <c r="L307">
        <f t="shared" si="12"/>
        <v>27</v>
      </c>
      <c r="M307" t="str">
        <f t="shared" si="14"/>
        <v>Adults</v>
      </c>
    </row>
    <row r="308" spans="1:13" x14ac:dyDescent="0.25">
      <c r="A308" t="s">
        <v>769</v>
      </c>
      <c r="B308" t="s">
        <v>770</v>
      </c>
      <c r="C308" s="6">
        <v>18216</v>
      </c>
      <c r="D308" t="s">
        <v>27</v>
      </c>
      <c r="E308" t="s">
        <v>102</v>
      </c>
      <c r="F308" t="s">
        <v>103</v>
      </c>
      <c r="G308" t="s">
        <v>529</v>
      </c>
      <c r="H308" s="6">
        <v>44735</v>
      </c>
      <c r="I308" s="6">
        <v>44737</v>
      </c>
      <c r="J308" s="4">
        <v>34717.78</v>
      </c>
      <c r="K308">
        <f t="shared" si="13"/>
        <v>2</v>
      </c>
      <c r="L308">
        <f t="shared" si="12"/>
        <v>72</v>
      </c>
      <c r="M308" t="str">
        <f t="shared" si="14"/>
        <v>Older Adults</v>
      </c>
    </row>
    <row r="309" spans="1:13" x14ac:dyDescent="0.25">
      <c r="A309" t="s">
        <v>771</v>
      </c>
      <c r="B309" t="s">
        <v>772</v>
      </c>
      <c r="C309" s="6">
        <v>8661</v>
      </c>
      <c r="D309" t="s">
        <v>27</v>
      </c>
      <c r="E309" t="s">
        <v>142</v>
      </c>
      <c r="F309" t="s">
        <v>110</v>
      </c>
      <c r="G309" t="s">
        <v>143</v>
      </c>
      <c r="H309" s="6">
        <v>44735</v>
      </c>
      <c r="I309" s="6">
        <v>44758</v>
      </c>
      <c r="J309" s="4">
        <v>1707.7</v>
      </c>
      <c r="K309">
        <f t="shared" si="13"/>
        <v>23</v>
      </c>
      <c r="L309">
        <f t="shared" si="12"/>
        <v>98</v>
      </c>
      <c r="M309" t="str">
        <f t="shared" si="14"/>
        <v>Older Adults</v>
      </c>
    </row>
    <row r="310" spans="1:13" x14ac:dyDescent="0.25">
      <c r="A310" t="s">
        <v>773</v>
      </c>
      <c r="B310" t="s">
        <v>774</v>
      </c>
      <c r="C310" s="6">
        <v>15443</v>
      </c>
      <c r="D310" t="s">
        <v>27</v>
      </c>
      <c r="E310" t="s">
        <v>38</v>
      </c>
      <c r="F310" t="s">
        <v>13</v>
      </c>
      <c r="G310" t="s">
        <v>117</v>
      </c>
      <c r="H310" s="6">
        <v>44735</v>
      </c>
      <c r="I310" s="6">
        <v>44755</v>
      </c>
      <c r="J310" s="4">
        <v>3834.43</v>
      </c>
      <c r="K310">
        <f t="shared" si="13"/>
        <v>20</v>
      </c>
      <c r="L310">
        <f t="shared" si="12"/>
        <v>80</v>
      </c>
      <c r="M310" t="str">
        <f t="shared" si="14"/>
        <v>Older Adults</v>
      </c>
    </row>
    <row r="311" spans="1:13" x14ac:dyDescent="0.25">
      <c r="A311" t="s">
        <v>775</v>
      </c>
      <c r="B311" t="s">
        <v>776</v>
      </c>
      <c r="C311" s="6">
        <v>41007</v>
      </c>
      <c r="D311" t="s">
        <v>27</v>
      </c>
      <c r="E311" t="s">
        <v>152</v>
      </c>
      <c r="F311" t="s">
        <v>56</v>
      </c>
      <c r="G311" t="s">
        <v>214</v>
      </c>
      <c r="H311" s="6">
        <v>44735</v>
      </c>
      <c r="I311" s="6">
        <v>44753</v>
      </c>
      <c r="J311" s="4">
        <v>8387.91</v>
      </c>
      <c r="K311">
        <f t="shared" si="13"/>
        <v>18</v>
      </c>
      <c r="L311">
        <f t="shared" si="12"/>
        <v>10</v>
      </c>
      <c r="M311" t="str">
        <f t="shared" si="14"/>
        <v>Children and Adolescent</v>
      </c>
    </row>
    <row r="312" spans="1:13" x14ac:dyDescent="0.25">
      <c r="A312" t="s">
        <v>777</v>
      </c>
      <c r="B312" t="s">
        <v>778</v>
      </c>
      <c r="C312" s="6">
        <v>22193</v>
      </c>
      <c r="D312" t="s">
        <v>11</v>
      </c>
      <c r="E312" t="s">
        <v>47</v>
      </c>
      <c r="F312" t="s">
        <v>29</v>
      </c>
      <c r="G312" t="s">
        <v>341</v>
      </c>
      <c r="H312" s="6">
        <v>44736</v>
      </c>
      <c r="I312" s="6">
        <v>44757</v>
      </c>
      <c r="J312" s="4">
        <v>2120.38</v>
      </c>
      <c r="K312">
        <f t="shared" si="13"/>
        <v>21</v>
      </c>
      <c r="L312">
        <f t="shared" si="12"/>
        <v>61</v>
      </c>
      <c r="M312" t="str">
        <f t="shared" si="14"/>
        <v>Older Adults</v>
      </c>
    </row>
    <row r="313" spans="1:13" x14ac:dyDescent="0.25">
      <c r="A313" t="s">
        <v>779</v>
      </c>
      <c r="B313" t="s">
        <v>780</v>
      </c>
      <c r="C313" s="6">
        <v>16738</v>
      </c>
      <c r="D313" t="s">
        <v>11</v>
      </c>
      <c r="E313" t="s">
        <v>178</v>
      </c>
      <c r="F313" t="s">
        <v>433</v>
      </c>
      <c r="G313" t="s">
        <v>434</v>
      </c>
      <c r="H313" s="6">
        <v>44738</v>
      </c>
      <c r="I313" s="6">
        <v>44764</v>
      </c>
      <c r="J313" s="4">
        <v>2871.05</v>
      </c>
      <c r="K313">
        <f t="shared" si="13"/>
        <v>26</v>
      </c>
      <c r="L313">
        <f t="shared" si="12"/>
        <v>76</v>
      </c>
      <c r="M313" t="str">
        <f t="shared" si="14"/>
        <v>Older Adults</v>
      </c>
    </row>
    <row r="314" spans="1:13" x14ac:dyDescent="0.25">
      <c r="A314" t="s">
        <v>781</v>
      </c>
      <c r="B314" t="s">
        <v>782</v>
      </c>
      <c r="C314" s="6">
        <v>28547</v>
      </c>
      <c r="D314" t="s">
        <v>11</v>
      </c>
      <c r="E314" t="s">
        <v>51</v>
      </c>
      <c r="F314" t="s">
        <v>13</v>
      </c>
      <c r="G314" t="s">
        <v>473</v>
      </c>
      <c r="H314" s="6">
        <v>44739</v>
      </c>
      <c r="I314" s="6">
        <v>44760</v>
      </c>
      <c r="J314" s="4">
        <v>8119.79</v>
      </c>
      <c r="K314">
        <f t="shared" si="13"/>
        <v>21</v>
      </c>
      <c r="L314">
        <f t="shared" si="12"/>
        <v>44</v>
      </c>
      <c r="M314" t="str">
        <f t="shared" si="14"/>
        <v>Adults</v>
      </c>
    </row>
    <row r="315" spans="1:13" x14ac:dyDescent="0.25">
      <c r="A315" t="s">
        <v>783</v>
      </c>
      <c r="B315" t="s">
        <v>784</v>
      </c>
      <c r="C315" s="6">
        <v>35277</v>
      </c>
      <c r="D315" t="s">
        <v>27</v>
      </c>
      <c r="E315" t="s">
        <v>102</v>
      </c>
      <c r="F315" t="s">
        <v>103</v>
      </c>
      <c r="G315" t="s">
        <v>104</v>
      </c>
      <c r="H315" s="6">
        <v>44739</v>
      </c>
      <c r="I315" s="6">
        <v>44751</v>
      </c>
      <c r="J315" s="4">
        <v>15844.22</v>
      </c>
      <c r="K315">
        <f t="shared" si="13"/>
        <v>12</v>
      </c>
      <c r="L315">
        <f t="shared" si="12"/>
        <v>25</v>
      </c>
      <c r="M315" t="str">
        <f t="shared" si="14"/>
        <v>Adults</v>
      </c>
    </row>
    <row r="316" spans="1:13" x14ac:dyDescent="0.25">
      <c r="A316" t="s">
        <v>785</v>
      </c>
      <c r="B316" t="s">
        <v>786</v>
      </c>
      <c r="C316" s="6">
        <v>44724</v>
      </c>
      <c r="D316" t="s">
        <v>11</v>
      </c>
      <c r="E316" t="s">
        <v>187</v>
      </c>
      <c r="F316" t="s">
        <v>188</v>
      </c>
      <c r="G316" t="s">
        <v>189</v>
      </c>
      <c r="H316" s="6">
        <v>44739</v>
      </c>
      <c r="I316" s="6">
        <v>44740</v>
      </c>
      <c r="J316" s="4">
        <v>9618.17</v>
      </c>
      <c r="K316">
        <f t="shared" si="13"/>
        <v>1</v>
      </c>
      <c r="L316">
        <f t="shared" si="12"/>
        <v>0</v>
      </c>
      <c r="M316" t="str">
        <f t="shared" si="14"/>
        <v>Early childhood</v>
      </c>
    </row>
    <row r="317" spans="1:13" x14ac:dyDescent="0.25">
      <c r="A317" t="s">
        <v>787</v>
      </c>
      <c r="B317" t="s">
        <v>788</v>
      </c>
      <c r="C317" s="6">
        <v>11747</v>
      </c>
      <c r="D317" t="s">
        <v>11</v>
      </c>
      <c r="E317" t="s">
        <v>152</v>
      </c>
      <c r="F317" t="s">
        <v>56</v>
      </c>
      <c r="G317" t="s">
        <v>195</v>
      </c>
      <c r="H317" s="6">
        <v>44742</v>
      </c>
      <c r="I317" s="6">
        <v>44745</v>
      </c>
      <c r="J317" s="4">
        <v>13094.09</v>
      </c>
      <c r="K317">
        <f t="shared" si="13"/>
        <v>3</v>
      </c>
      <c r="L317">
        <f t="shared" si="12"/>
        <v>90</v>
      </c>
      <c r="M317" t="str">
        <f t="shared" si="14"/>
        <v>Older Adults</v>
      </c>
    </row>
    <row r="318" spans="1:13" x14ac:dyDescent="0.25">
      <c r="A318" t="s">
        <v>789</v>
      </c>
      <c r="B318" t="s">
        <v>790</v>
      </c>
      <c r="C318" s="6">
        <v>20110</v>
      </c>
      <c r="D318" t="s">
        <v>27</v>
      </c>
      <c r="E318" t="s">
        <v>138</v>
      </c>
      <c r="F318" t="s">
        <v>209</v>
      </c>
      <c r="G318" t="s">
        <v>143</v>
      </c>
      <c r="H318" s="6">
        <v>44743</v>
      </c>
      <c r="I318" s="6">
        <v>44751</v>
      </c>
      <c r="J318" s="4">
        <v>881.67</v>
      </c>
      <c r="K318">
        <f t="shared" si="13"/>
        <v>8</v>
      </c>
      <c r="L318">
        <f t="shared" si="12"/>
        <v>67</v>
      </c>
      <c r="M318" t="str">
        <f t="shared" si="14"/>
        <v>Older Adults</v>
      </c>
    </row>
    <row r="319" spans="1:13" x14ac:dyDescent="0.25">
      <c r="A319" t="s">
        <v>791</v>
      </c>
      <c r="B319" t="s">
        <v>792</v>
      </c>
      <c r="C319" s="6">
        <v>9531</v>
      </c>
      <c r="D319" t="s">
        <v>11</v>
      </c>
      <c r="E319" t="s">
        <v>302</v>
      </c>
      <c r="F319" t="s">
        <v>13</v>
      </c>
      <c r="G319" t="s">
        <v>399</v>
      </c>
      <c r="H319" s="6">
        <v>44744</v>
      </c>
      <c r="I319" s="6">
        <v>44772</v>
      </c>
      <c r="J319" s="4">
        <v>8877.17</v>
      </c>
      <c r="K319">
        <f t="shared" si="13"/>
        <v>28</v>
      </c>
      <c r="L319">
        <f t="shared" si="12"/>
        <v>96</v>
      </c>
      <c r="M319" t="str">
        <f t="shared" si="14"/>
        <v>Older Adults</v>
      </c>
    </row>
    <row r="320" spans="1:13" x14ac:dyDescent="0.25">
      <c r="A320" t="s">
        <v>793</v>
      </c>
      <c r="B320" t="s">
        <v>794</v>
      </c>
      <c r="C320" s="6">
        <v>12767</v>
      </c>
      <c r="D320" t="s">
        <v>11</v>
      </c>
      <c r="E320" t="s">
        <v>55</v>
      </c>
      <c r="F320" t="s">
        <v>56</v>
      </c>
      <c r="G320" t="s">
        <v>57</v>
      </c>
      <c r="H320" s="6">
        <v>44745</v>
      </c>
      <c r="I320" s="6">
        <v>44768</v>
      </c>
      <c r="J320" s="4">
        <v>2925.02</v>
      </c>
      <c r="K320">
        <f t="shared" si="13"/>
        <v>23</v>
      </c>
      <c r="L320">
        <f t="shared" si="12"/>
        <v>87</v>
      </c>
      <c r="M320" t="str">
        <f t="shared" si="14"/>
        <v>Older Adults</v>
      </c>
    </row>
    <row r="321" spans="1:13" x14ac:dyDescent="0.25">
      <c r="A321" t="s">
        <v>795</v>
      </c>
      <c r="B321" t="s">
        <v>796</v>
      </c>
      <c r="C321" s="6">
        <v>10841</v>
      </c>
      <c r="D321" t="s">
        <v>27</v>
      </c>
      <c r="E321" t="s">
        <v>302</v>
      </c>
      <c r="F321" t="s">
        <v>13</v>
      </c>
      <c r="G321" t="s">
        <v>303</v>
      </c>
      <c r="H321" s="6">
        <v>44747</v>
      </c>
      <c r="I321" s="6">
        <v>44768</v>
      </c>
      <c r="J321" s="4">
        <v>5535.47</v>
      </c>
      <c r="K321">
        <f t="shared" si="13"/>
        <v>21</v>
      </c>
      <c r="L321">
        <f t="shared" si="12"/>
        <v>92</v>
      </c>
      <c r="M321" t="str">
        <f t="shared" si="14"/>
        <v>Older Adults</v>
      </c>
    </row>
    <row r="322" spans="1:13" x14ac:dyDescent="0.25">
      <c r="A322" t="s">
        <v>797</v>
      </c>
      <c r="B322" t="s">
        <v>798</v>
      </c>
      <c r="C322" s="6">
        <v>30600</v>
      </c>
      <c r="D322" t="s">
        <v>27</v>
      </c>
      <c r="E322" t="s">
        <v>362</v>
      </c>
      <c r="F322" t="s">
        <v>799</v>
      </c>
      <c r="G322" t="s">
        <v>659</v>
      </c>
      <c r="H322" s="6">
        <v>44747</v>
      </c>
      <c r="I322" s="6">
        <v>44766</v>
      </c>
      <c r="J322" s="4">
        <v>9695.25</v>
      </c>
      <c r="K322">
        <f t="shared" si="13"/>
        <v>19</v>
      </c>
      <c r="L322">
        <f t="shared" ref="L322:L385" si="15">IF(C322&gt;H322,"Invalid DOB",DATEDIF(C322,H322,"Y"))</f>
        <v>38</v>
      </c>
      <c r="M322" t="str">
        <f t="shared" si="14"/>
        <v>Adults</v>
      </c>
    </row>
    <row r="323" spans="1:13" x14ac:dyDescent="0.25">
      <c r="A323" t="s">
        <v>800</v>
      </c>
      <c r="B323" t="s">
        <v>801</v>
      </c>
      <c r="C323" s="6">
        <v>21600</v>
      </c>
      <c r="D323" t="s">
        <v>11</v>
      </c>
      <c r="E323" t="s">
        <v>120</v>
      </c>
      <c r="F323" t="s">
        <v>103</v>
      </c>
      <c r="G323" t="s">
        <v>515</v>
      </c>
      <c r="H323" s="6">
        <v>44748</v>
      </c>
      <c r="I323" s="6">
        <v>44764</v>
      </c>
      <c r="J323" s="4">
        <v>834.84</v>
      </c>
      <c r="K323">
        <f t="shared" ref="K323:K386" si="16">I323-H323</f>
        <v>16</v>
      </c>
      <c r="L323">
        <f t="shared" si="15"/>
        <v>63</v>
      </c>
      <c r="M323" t="str">
        <f t="shared" ref="M323:M386" si="17">IF(L323="Invalid DOB","Invalid DOB",IF(L323&lt;=4,"Early childhood",IF(L323&lt;=17,"Children and Adolescent",IF(L323&lt;=24,"Young Adults",IF(L323&lt;=59,"Adults","Older Adults")))))</f>
        <v>Older Adults</v>
      </c>
    </row>
    <row r="324" spans="1:13" x14ac:dyDescent="0.25">
      <c r="A324" t="s">
        <v>802</v>
      </c>
      <c r="B324" t="s">
        <v>803</v>
      </c>
      <c r="C324" s="6">
        <v>26859</v>
      </c>
      <c r="D324" t="s">
        <v>27</v>
      </c>
      <c r="E324" t="s">
        <v>60</v>
      </c>
      <c r="F324" t="s">
        <v>88</v>
      </c>
      <c r="G324" t="s">
        <v>62</v>
      </c>
      <c r="H324" s="6">
        <v>44748</v>
      </c>
      <c r="I324" s="6">
        <v>44757</v>
      </c>
      <c r="J324" s="4">
        <v>96312.07</v>
      </c>
      <c r="K324">
        <f t="shared" si="16"/>
        <v>9</v>
      </c>
      <c r="L324">
        <f t="shared" si="15"/>
        <v>48</v>
      </c>
      <c r="M324" t="str">
        <f t="shared" si="17"/>
        <v>Adults</v>
      </c>
    </row>
    <row r="325" spans="1:13" x14ac:dyDescent="0.25">
      <c r="A325" t="s">
        <v>804</v>
      </c>
      <c r="B325" t="s">
        <v>805</v>
      </c>
      <c r="C325" s="6">
        <v>35732</v>
      </c>
      <c r="D325" t="s">
        <v>11</v>
      </c>
      <c r="E325" t="s">
        <v>178</v>
      </c>
      <c r="F325" t="s">
        <v>179</v>
      </c>
      <c r="G325" t="s">
        <v>545</v>
      </c>
      <c r="H325" s="6">
        <v>44749</v>
      </c>
      <c r="I325" s="6">
        <v>44768</v>
      </c>
      <c r="J325" s="4">
        <v>2639.22</v>
      </c>
      <c r="K325">
        <f t="shared" si="16"/>
        <v>19</v>
      </c>
      <c r="L325">
        <f t="shared" si="15"/>
        <v>24</v>
      </c>
      <c r="M325" t="str">
        <f t="shared" si="17"/>
        <v>Young Adults</v>
      </c>
    </row>
    <row r="326" spans="1:13" x14ac:dyDescent="0.25">
      <c r="A326" t="s">
        <v>806</v>
      </c>
      <c r="B326" t="s">
        <v>807</v>
      </c>
      <c r="C326" s="6">
        <v>21238</v>
      </c>
      <c r="D326" t="s">
        <v>27</v>
      </c>
      <c r="E326" t="s">
        <v>60</v>
      </c>
      <c r="F326" t="s">
        <v>88</v>
      </c>
      <c r="G326" t="s">
        <v>149</v>
      </c>
      <c r="H326" s="6">
        <v>44754</v>
      </c>
      <c r="I326" s="6">
        <v>44755</v>
      </c>
      <c r="J326" s="4">
        <v>44687.63</v>
      </c>
      <c r="K326">
        <f t="shared" si="16"/>
        <v>1</v>
      </c>
      <c r="L326">
        <f t="shared" si="15"/>
        <v>64</v>
      </c>
      <c r="M326" t="str">
        <f t="shared" si="17"/>
        <v>Older Adults</v>
      </c>
    </row>
    <row r="327" spans="1:13" x14ac:dyDescent="0.25">
      <c r="A327" t="s">
        <v>808</v>
      </c>
      <c r="B327" t="s">
        <v>809</v>
      </c>
      <c r="C327" s="6">
        <v>40434</v>
      </c>
      <c r="D327" t="s">
        <v>27</v>
      </c>
      <c r="E327" t="s">
        <v>65</v>
      </c>
      <c r="F327" t="s">
        <v>23</v>
      </c>
      <c r="G327" t="s">
        <v>66</v>
      </c>
      <c r="H327" s="6">
        <v>44757</v>
      </c>
      <c r="I327" s="6">
        <v>44780</v>
      </c>
      <c r="J327" s="4">
        <v>120.51</v>
      </c>
      <c r="K327">
        <f t="shared" si="16"/>
        <v>23</v>
      </c>
      <c r="L327">
        <f t="shared" si="15"/>
        <v>11</v>
      </c>
      <c r="M327" t="str">
        <f t="shared" si="17"/>
        <v>Children and Adolescent</v>
      </c>
    </row>
    <row r="328" spans="1:13" x14ac:dyDescent="0.25">
      <c r="A328" t="s">
        <v>810</v>
      </c>
      <c r="B328" t="s">
        <v>811</v>
      </c>
      <c r="C328" s="6">
        <v>26405</v>
      </c>
      <c r="D328" t="s">
        <v>11</v>
      </c>
      <c r="E328" t="s">
        <v>55</v>
      </c>
      <c r="F328" t="s">
        <v>217</v>
      </c>
      <c r="G328" t="s">
        <v>218</v>
      </c>
      <c r="H328" s="6">
        <v>44758</v>
      </c>
      <c r="I328" s="6">
        <v>44761</v>
      </c>
      <c r="J328" s="4">
        <v>2426.34</v>
      </c>
      <c r="K328">
        <f t="shared" si="16"/>
        <v>3</v>
      </c>
      <c r="L328">
        <f t="shared" si="15"/>
        <v>50</v>
      </c>
      <c r="M328" t="str">
        <f t="shared" si="17"/>
        <v>Adults</v>
      </c>
    </row>
    <row r="329" spans="1:13" x14ac:dyDescent="0.25">
      <c r="A329" t="s">
        <v>812</v>
      </c>
      <c r="B329" t="s">
        <v>813</v>
      </c>
      <c r="C329" s="6">
        <v>25335</v>
      </c>
      <c r="D329" t="s">
        <v>27</v>
      </c>
      <c r="E329" t="s">
        <v>51</v>
      </c>
      <c r="F329" t="s">
        <v>29</v>
      </c>
      <c r="G329" t="s">
        <v>473</v>
      </c>
      <c r="H329" s="6">
        <v>44758</v>
      </c>
      <c r="I329" s="6">
        <v>44761</v>
      </c>
      <c r="J329" s="4">
        <v>7216.95</v>
      </c>
      <c r="K329">
        <f t="shared" si="16"/>
        <v>3</v>
      </c>
      <c r="L329">
        <f t="shared" si="15"/>
        <v>53</v>
      </c>
      <c r="M329" t="str">
        <f t="shared" si="17"/>
        <v>Adults</v>
      </c>
    </row>
    <row r="330" spans="1:13" x14ac:dyDescent="0.25">
      <c r="A330" t="s">
        <v>814</v>
      </c>
      <c r="B330" t="s">
        <v>815</v>
      </c>
      <c r="C330" s="6">
        <v>37063</v>
      </c>
      <c r="D330" t="s">
        <v>11</v>
      </c>
      <c r="E330" t="s">
        <v>17</v>
      </c>
      <c r="F330" t="s">
        <v>18</v>
      </c>
      <c r="G330" t="s">
        <v>318</v>
      </c>
      <c r="H330" s="6">
        <v>44762</v>
      </c>
      <c r="I330" s="6">
        <v>44770</v>
      </c>
      <c r="J330" s="4">
        <v>2334.7600000000002</v>
      </c>
      <c r="K330">
        <f t="shared" si="16"/>
        <v>8</v>
      </c>
      <c r="L330">
        <f t="shared" si="15"/>
        <v>21</v>
      </c>
      <c r="M330" t="str">
        <f t="shared" si="17"/>
        <v>Young Adults</v>
      </c>
    </row>
    <row r="331" spans="1:13" x14ac:dyDescent="0.25">
      <c r="A331" t="s">
        <v>816</v>
      </c>
      <c r="B331" t="s">
        <v>817</v>
      </c>
      <c r="C331" s="6">
        <v>9743</v>
      </c>
      <c r="D331" t="s">
        <v>27</v>
      </c>
      <c r="E331" t="s">
        <v>187</v>
      </c>
      <c r="F331" t="s">
        <v>188</v>
      </c>
      <c r="G331" t="s">
        <v>189</v>
      </c>
      <c r="H331" s="6">
        <v>44764</v>
      </c>
      <c r="I331" s="6">
        <v>44794</v>
      </c>
      <c r="J331" s="4">
        <v>4570.7299999999996</v>
      </c>
      <c r="K331">
        <f t="shared" si="16"/>
        <v>30</v>
      </c>
      <c r="L331">
        <f t="shared" si="15"/>
        <v>95</v>
      </c>
      <c r="M331" t="str">
        <f t="shared" si="17"/>
        <v>Older Adults</v>
      </c>
    </row>
    <row r="332" spans="1:13" x14ac:dyDescent="0.25">
      <c r="A332" t="s">
        <v>818</v>
      </c>
      <c r="B332" t="s">
        <v>819</v>
      </c>
      <c r="C332" s="6">
        <v>27516</v>
      </c>
      <c r="D332" t="s">
        <v>11</v>
      </c>
      <c r="E332" t="s">
        <v>152</v>
      </c>
      <c r="F332" t="s">
        <v>56</v>
      </c>
      <c r="G332" t="s">
        <v>195</v>
      </c>
      <c r="H332" s="6">
        <v>44764</v>
      </c>
      <c r="I332" s="6">
        <v>44790</v>
      </c>
      <c r="J332" s="4">
        <v>16367.78</v>
      </c>
      <c r="K332">
        <f t="shared" si="16"/>
        <v>26</v>
      </c>
      <c r="L332">
        <f t="shared" si="15"/>
        <v>47</v>
      </c>
      <c r="M332" t="str">
        <f t="shared" si="17"/>
        <v>Adults</v>
      </c>
    </row>
    <row r="333" spans="1:13" x14ac:dyDescent="0.25">
      <c r="A333" t="s">
        <v>820</v>
      </c>
      <c r="B333" t="s">
        <v>821</v>
      </c>
      <c r="C333" s="6">
        <v>35229</v>
      </c>
      <c r="D333" t="s">
        <v>11</v>
      </c>
      <c r="E333" t="s">
        <v>138</v>
      </c>
      <c r="F333" t="s">
        <v>209</v>
      </c>
      <c r="G333" t="s">
        <v>139</v>
      </c>
      <c r="H333" s="6">
        <v>44764</v>
      </c>
      <c r="I333" s="6">
        <v>44793</v>
      </c>
      <c r="J333" s="4">
        <v>2843.93</v>
      </c>
      <c r="K333">
        <f t="shared" si="16"/>
        <v>29</v>
      </c>
      <c r="L333">
        <f t="shared" si="15"/>
        <v>26</v>
      </c>
      <c r="M333" t="str">
        <f t="shared" si="17"/>
        <v>Adults</v>
      </c>
    </row>
    <row r="334" spans="1:13" x14ac:dyDescent="0.25">
      <c r="A334" t="s">
        <v>822</v>
      </c>
      <c r="B334" t="s">
        <v>823</v>
      </c>
      <c r="C334" s="6">
        <v>11731</v>
      </c>
      <c r="D334" t="s">
        <v>27</v>
      </c>
      <c r="E334" t="s">
        <v>65</v>
      </c>
      <c r="F334" t="s">
        <v>114</v>
      </c>
      <c r="G334" t="s">
        <v>66</v>
      </c>
      <c r="H334" s="6">
        <v>44765</v>
      </c>
      <c r="I334" s="6">
        <v>44776</v>
      </c>
      <c r="J334" s="4">
        <v>257.82</v>
      </c>
      <c r="K334">
        <f t="shared" si="16"/>
        <v>11</v>
      </c>
      <c r="L334">
        <f t="shared" si="15"/>
        <v>90</v>
      </c>
      <c r="M334" t="str">
        <f t="shared" si="17"/>
        <v>Older Adults</v>
      </c>
    </row>
    <row r="335" spans="1:13" x14ac:dyDescent="0.25">
      <c r="A335" t="s">
        <v>824</v>
      </c>
      <c r="B335" t="s">
        <v>825</v>
      </c>
      <c r="C335" s="6">
        <v>21604</v>
      </c>
      <c r="D335" t="s">
        <v>11</v>
      </c>
      <c r="E335" t="s">
        <v>33</v>
      </c>
      <c r="F335" t="s">
        <v>34</v>
      </c>
      <c r="G335" t="s">
        <v>478</v>
      </c>
      <c r="H335" s="6">
        <v>44768</v>
      </c>
      <c r="I335" s="6">
        <v>44778</v>
      </c>
      <c r="J335" s="4">
        <v>2343.29</v>
      </c>
      <c r="K335">
        <f t="shared" si="16"/>
        <v>10</v>
      </c>
      <c r="L335">
        <f t="shared" si="15"/>
        <v>63</v>
      </c>
      <c r="M335" t="str">
        <f t="shared" si="17"/>
        <v>Older Adults</v>
      </c>
    </row>
    <row r="336" spans="1:13" x14ac:dyDescent="0.25">
      <c r="A336" t="s">
        <v>826</v>
      </c>
      <c r="B336" t="s">
        <v>827</v>
      </c>
      <c r="C336" s="6">
        <v>15929</v>
      </c>
      <c r="D336" t="s">
        <v>11</v>
      </c>
      <c r="E336" t="s">
        <v>138</v>
      </c>
      <c r="F336" t="s">
        <v>110</v>
      </c>
      <c r="G336" t="s">
        <v>143</v>
      </c>
      <c r="H336" s="6">
        <v>44770</v>
      </c>
      <c r="I336" s="6">
        <v>44799</v>
      </c>
      <c r="J336" s="4">
        <v>2901.89</v>
      </c>
      <c r="K336">
        <f t="shared" si="16"/>
        <v>29</v>
      </c>
      <c r="L336">
        <f t="shared" si="15"/>
        <v>78</v>
      </c>
      <c r="M336" t="str">
        <f t="shared" si="17"/>
        <v>Older Adults</v>
      </c>
    </row>
    <row r="337" spans="1:13" x14ac:dyDescent="0.25">
      <c r="A337" t="s">
        <v>828</v>
      </c>
      <c r="B337" t="s">
        <v>829</v>
      </c>
      <c r="C337" s="6">
        <v>20037</v>
      </c>
      <c r="D337" t="s">
        <v>11</v>
      </c>
      <c r="E337" t="s">
        <v>127</v>
      </c>
      <c r="F337" t="s">
        <v>114</v>
      </c>
      <c r="G337" t="s">
        <v>157</v>
      </c>
      <c r="H337" s="6">
        <v>44770</v>
      </c>
      <c r="I337" s="6">
        <v>44782</v>
      </c>
      <c r="J337" s="4">
        <v>2571.09</v>
      </c>
      <c r="K337">
        <f t="shared" si="16"/>
        <v>12</v>
      </c>
      <c r="L337">
        <f t="shared" si="15"/>
        <v>67</v>
      </c>
      <c r="M337" t="str">
        <f t="shared" si="17"/>
        <v>Older Adults</v>
      </c>
    </row>
    <row r="338" spans="1:13" x14ac:dyDescent="0.25">
      <c r="A338" t="s">
        <v>830</v>
      </c>
      <c r="B338" t="s">
        <v>831</v>
      </c>
      <c r="C338" s="6">
        <v>37392</v>
      </c>
      <c r="D338" t="s">
        <v>11</v>
      </c>
      <c r="E338" t="s">
        <v>72</v>
      </c>
      <c r="F338" t="s">
        <v>13</v>
      </c>
      <c r="G338" t="s">
        <v>331</v>
      </c>
      <c r="H338" s="6">
        <v>44770</v>
      </c>
      <c r="I338" s="6">
        <v>44793</v>
      </c>
      <c r="J338" s="4">
        <v>6255.99</v>
      </c>
      <c r="K338">
        <f t="shared" si="16"/>
        <v>23</v>
      </c>
      <c r="L338">
        <f t="shared" si="15"/>
        <v>20</v>
      </c>
      <c r="M338" t="str">
        <f t="shared" si="17"/>
        <v>Young Adults</v>
      </c>
    </row>
    <row r="339" spans="1:13" x14ac:dyDescent="0.25">
      <c r="A339" t="s">
        <v>832</v>
      </c>
      <c r="B339" t="s">
        <v>833</v>
      </c>
      <c r="C339" s="6">
        <v>37682</v>
      </c>
      <c r="D339" t="s">
        <v>11</v>
      </c>
      <c r="E339" t="s">
        <v>17</v>
      </c>
      <c r="F339" t="s">
        <v>34</v>
      </c>
      <c r="G339" t="s">
        <v>19</v>
      </c>
      <c r="H339" s="6">
        <v>44770</v>
      </c>
      <c r="I339" s="6">
        <v>44773</v>
      </c>
      <c r="J339" s="4">
        <v>2259.0100000000002</v>
      </c>
      <c r="K339">
        <f t="shared" si="16"/>
        <v>3</v>
      </c>
      <c r="L339">
        <f t="shared" si="15"/>
        <v>19</v>
      </c>
      <c r="M339" t="str">
        <f t="shared" si="17"/>
        <v>Young Adults</v>
      </c>
    </row>
    <row r="340" spans="1:13" x14ac:dyDescent="0.25">
      <c r="A340" t="s">
        <v>834</v>
      </c>
      <c r="B340" t="s">
        <v>835</v>
      </c>
      <c r="C340" s="6">
        <v>20723</v>
      </c>
      <c r="D340" t="s">
        <v>11</v>
      </c>
      <c r="E340" t="s">
        <v>17</v>
      </c>
      <c r="F340" t="s">
        <v>18</v>
      </c>
      <c r="G340" t="s">
        <v>318</v>
      </c>
      <c r="H340" s="6">
        <v>44771</v>
      </c>
      <c r="I340" s="6">
        <v>44792</v>
      </c>
      <c r="J340" s="4">
        <v>2938.81</v>
      </c>
      <c r="K340">
        <f t="shared" si="16"/>
        <v>21</v>
      </c>
      <c r="L340">
        <f t="shared" si="15"/>
        <v>65</v>
      </c>
      <c r="M340" t="str">
        <f t="shared" si="17"/>
        <v>Older Adults</v>
      </c>
    </row>
    <row r="341" spans="1:13" x14ac:dyDescent="0.25">
      <c r="A341" t="s">
        <v>836</v>
      </c>
      <c r="B341" t="s">
        <v>837</v>
      </c>
      <c r="C341" s="6">
        <v>20482</v>
      </c>
      <c r="D341" t="s">
        <v>27</v>
      </c>
      <c r="E341" t="s">
        <v>120</v>
      </c>
      <c r="F341" t="s">
        <v>114</v>
      </c>
      <c r="G341" t="s">
        <v>121</v>
      </c>
      <c r="H341" s="6">
        <v>44771</v>
      </c>
      <c r="I341" s="6">
        <v>44793</v>
      </c>
      <c r="J341" s="4">
        <v>2923.69</v>
      </c>
      <c r="K341">
        <f t="shared" si="16"/>
        <v>22</v>
      </c>
      <c r="L341">
        <f t="shared" si="15"/>
        <v>66</v>
      </c>
      <c r="M341" t="str">
        <f t="shared" si="17"/>
        <v>Older Adults</v>
      </c>
    </row>
    <row r="342" spans="1:13" x14ac:dyDescent="0.25">
      <c r="A342" t="s">
        <v>838</v>
      </c>
      <c r="B342" t="s">
        <v>839</v>
      </c>
      <c r="C342" s="6">
        <v>29562</v>
      </c>
      <c r="D342" t="s">
        <v>27</v>
      </c>
      <c r="E342" t="s">
        <v>17</v>
      </c>
      <c r="F342" t="s">
        <v>34</v>
      </c>
      <c r="G342" t="s">
        <v>135</v>
      </c>
      <c r="H342" s="6">
        <v>44771</v>
      </c>
      <c r="I342" s="6">
        <v>44781</v>
      </c>
      <c r="J342" s="4">
        <v>1081.08</v>
      </c>
      <c r="K342">
        <f t="shared" si="16"/>
        <v>10</v>
      </c>
      <c r="L342">
        <f t="shared" si="15"/>
        <v>41</v>
      </c>
      <c r="M342" t="str">
        <f t="shared" si="17"/>
        <v>Adults</v>
      </c>
    </row>
    <row r="343" spans="1:13" x14ac:dyDescent="0.25">
      <c r="A343" t="s">
        <v>840</v>
      </c>
      <c r="B343" t="s">
        <v>841</v>
      </c>
      <c r="C343" s="6">
        <v>37034</v>
      </c>
      <c r="D343" t="s">
        <v>27</v>
      </c>
      <c r="E343" t="s">
        <v>97</v>
      </c>
      <c r="F343" t="s">
        <v>98</v>
      </c>
      <c r="G343" t="s">
        <v>99</v>
      </c>
      <c r="H343" s="6">
        <v>44771</v>
      </c>
      <c r="I343" s="6">
        <v>44799</v>
      </c>
      <c r="J343" s="4">
        <v>637.21</v>
      </c>
      <c r="K343">
        <f t="shared" si="16"/>
        <v>28</v>
      </c>
      <c r="L343">
        <f t="shared" si="15"/>
        <v>21</v>
      </c>
      <c r="M343" t="str">
        <f t="shared" si="17"/>
        <v>Young Adults</v>
      </c>
    </row>
    <row r="344" spans="1:13" x14ac:dyDescent="0.25">
      <c r="A344" t="s">
        <v>842</v>
      </c>
      <c r="B344" t="s">
        <v>843</v>
      </c>
      <c r="C344" s="6">
        <v>16067</v>
      </c>
      <c r="D344" t="s">
        <v>11</v>
      </c>
      <c r="E344" t="s">
        <v>47</v>
      </c>
      <c r="F344" t="s">
        <v>29</v>
      </c>
      <c r="G344" t="s">
        <v>243</v>
      </c>
      <c r="H344" s="6">
        <v>44772</v>
      </c>
      <c r="I344" s="6">
        <v>44795</v>
      </c>
      <c r="J344" s="4">
        <v>3685.88</v>
      </c>
      <c r="K344">
        <f t="shared" si="16"/>
        <v>23</v>
      </c>
      <c r="L344">
        <f t="shared" si="15"/>
        <v>78</v>
      </c>
      <c r="M344" t="str">
        <f t="shared" si="17"/>
        <v>Older Adults</v>
      </c>
    </row>
    <row r="345" spans="1:13" x14ac:dyDescent="0.25">
      <c r="A345" t="s">
        <v>844</v>
      </c>
      <c r="B345" t="s">
        <v>845</v>
      </c>
      <c r="C345" s="6">
        <v>19459</v>
      </c>
      <c r="D345" t="s">
        <v>11</v>
      </c>
      <c r="E345" t="s">
        <v>72</v>
      </c>
      <c r="F345" t="s">
        <v>13</v>
      </c>
      <c r="G345" t="s">
        <v>278</v>
      </c>
      <c r="H345" s="6">
        <v>44772</v>
      </c>
      <c r="I345" s="6">
        <v>44790</v>
      </c>
      <c r="J345" s="4">
        <v>4435.09</v>
      </c>
      <c r="K345">
        <f t="shared" si="16"/>
        <v>18</v>
      </c>
      <c r="L345">
        <f t="shared" si="15"/>
        <v>69</v>
      </c>
      <c r="M345" t="str">
        <f t="shared" si="17"/>
        <v>Older Adults</v>
      </c>
    </row>
    <row r="346" spans="1:13" x14ac:dyDescent="0.25">
      <c r="A346" t="s">
        <v>846</v>
      </c>
      <c r="B346" t="s">
        <v>847</v>
      </c>
      <c r="C346" s="6">
        <v>32874</v>
      </c>
      <c r="D346" t="s">
        <v>11</v>
      </c>
      <c r="E346" t="s">
        <v>33</v>
      </c>
      <c r="F346" t="s">
        <v>13</v>
      </c>
      <c r="G346" t="s">
        <v>35</v>
      </c>
      <c r="H346" s="6">
        <v>44772</v>
      </c>
      <c r="I346" s="6">
        <v>44801</v>
      </c>
      <c r="J346" s="4">
        <v>4000.32</v>
      </c>
      <c r="K346">
        <f t="shared" si="16"/>
        <v>29</v>
      </c>
      <c r="L346">
        <f t="shared" si="15"/>
        <v>32</v>
      </c>
      <c r="M346" t="str">
        <f t="shared" si="17"/>
        <v>Adults</v>
      </c>
    </row>
    <row r="347" spans="1:13" x14ac:dyDescent="0.25">
      <c r="A347" t="s">
        <v>848</v>
      </c>
      <c r="B347" t="s">
        <v>849</v>
      </c>
      <c r="C347" s="6">
        <v>28348</v>
      </c>
      <c r="D347" t="s">
        <v>27</v>
      </c>
      <c r="E347" t="s">
        <v>142</v>
      </c>
      <c r="F347" t="s">
        <v>114</v>
      </c>
      <c r="G347" t="s">
        <v>143</v>
      </c>
      <c r="H347" s="6">
        <v>44776</v>
      </c>
      <c r="I347" s="6">
        <v>44793</v>
      </c>
      <c r="J347" s="4">
        <v>1499.59</v>
      </c>
      <c r="K347">
        <f t="shared" si="16"/>
        <v>17</v>
      </c>
      <c r="L347">
        <f t="shared" si="15"/>
        <v>44</v>
      </c>
      <c r="M347" t="str">
        <f t="shared" si="17"/>
        <v>Adults</v>
      </c>
    </row>
    <row r="348" spans="1:13" x14ac:dyDescent="0.25">
      <c r="A348" t="s">
        <v>850</v>
      </c>
      <c r="B348" t="s">
        <v>851</v>
      </c>
      <c r="C348" s="6">
        <v>39069</v>
      </c>
      <c r="D348" t="s">
        <v>27</v>
      </c>
      <c r="E348" t="s">
        <v>51</v>
      </c>
      <c r="F348" t="s">
        <v>29</v>
      </c>
      <c r="G348" t="s">
        <v>473</v>
      </c>
      <c r="H348" s="6">
        <v>44778</v>
      </c>
      <c r="I348" s="6">
        <v>44793</v>
      </c>
      <c r="J348" s="4">
        <v>4046.71</v>
      </c>
      <c r="K348">
        <f t="shared" si="16"/>
        <v>15</v>
      </c>
      <c r="L348">
        <f t="shared" si="15"/>
        <v>15</v>
      </c>
      <c r="M348" t="str">
        <f t="shared" si="17"/>
        <v>Children and Adolescent</v>
      </c>
    </row>
    <row r="349" spans="1:13" x14ac:dyDescent="0.25">
      <c r="A349" t="s">
        <v>852</v>
      </c>
      <c r="B349" t="s">
        <v>853</v>
      </c>
      <c r="C349" s="6">
        <v>42444</v>
      </c>
      <c r="D349" t="s">
        <v>11</v>
      </c>
      <c r="E349" t="s">
        <v>178</v>
      </c>
      <c r="F349" t="s">
        <v>433</v>
      </c>
      <c r="G349" t="s">
        <v>434</v>
      </c>
      <c r="H349" s="6">
        <v>44780</v>
      </c>
      <c r="I349" s="6">
        <v>44802</v>
      </c>
      <c r="J349" s="4">
        <v>2337.48</v>
      </c>
      <c r="K349">
        <f t="shared" si="16"/>
        <v>22</v>
      </c>
      <c r="L349">
        <f t="shared" si="15"/>
        <v>6</v>
      </c>
      <c r="M349" t="str">
        <f t="shared" si="17"/>
        <v>Children and Adolescent</v>
      </c>
    </row>
    <row r="350" spans="1:13" x14ac:dyDescent="0.25">
      <c r="A350" t="s">
        <v>854</v>
      </c>
      <c r="B350" t="s">
        <v>855</v>
      </c>
      <c r="C350" s="6">
        <v>23954</v>
      </c>
      <c r="D350" t="s">
        <v>11</v>
      </c>
      <c r="E350" t="s">
        <v>302</v>
      </c>
      <c r="F350" t="s">
        <v>29</v>
      </c>
      <c r="G350" t="s">
        <v>303</v>
      </c>
      <c r="H350" s="6">
        <v>44780</v>
      </c>
      <c r="I350" s="6">
        <v>44785</v>
      </c>
      <c r="J350" s="4">
        <v>15724.89</v>
      </c>
      <c r="K350">
        <f t="shared" si="16"/>
        <v>5</v>
      </c>
      <c r="L350">
        <f t="shared" si="15"/>
        <v>57</v>
      </c>
      <c r="M350" t="str">
        <f t="shared" si="17"/>
        <v>Adults</v>
      </c>
    </row>
    <row r="351" spans="1:13" x14ac:dyDescent="0.25">
      <c r="A351" t="s">
        <v>856</v>
      </c>
      <c r="B351" t="s">
        <v>857</v>
      </c>
      <c r="C351" s="6">
        <v>27670</v>
      </c>
      <c r="D351" t="s">
        <v>11</v>
      </c>
      <c r="E351" t="s">
        <v>51</v>
      </c>
      <c r="F351" t="s">
        <v>29</v>
      </c>
      <c r="G351" t="s">
        <v>473</v>
      </c>
      <c r="H351" s="6">
        <v>44782</v>
      </c>
      <c r="I351" s="6">
        <v>44789</v>
      </c>
      <c r="J351" s="4">
        <v>3260.91</v>
      </c>
      <c r="K351">
        <f t="shared" si="16"/>
        <v>7</v>
      </c>
      <c r="L351">
        <f t="shared" si="15"/>
        <v>46</v>
      </c>
      <c r="M351" t="str">
        <f t="shared" si="17"/>
        <v>Adults</v>
      </c>
    </row>
    <row r="352" spans="1:13" x14ac:dyDescent="0.25">
      <c r="A352" t="s">
        <v>858</v>
      </c>
      <c r="B352" t="s">
        <v>859</v>
      </c>
      <c r="C352" s="6">
        <v>45447</v>
      </c>
      <c r="D352" t="s">
        <v>27</v>
      </c>
      <c r="E352" t="s">
        <v>65</v>
      </c>
      <c r="F352" t="s">
        <v>114</v>
      </c>
      <c r="G352" t="s">
        <v>346</v>
      </c>
      <c r="H352" s="6">
        <v>44784</v>
      </c>
      <c r="I352" s="6">
        <v>44806</v>
      </c>
      <c r="J352" s="4">
        <v>172.09</v>
      </c>
      <c r="K352">
        <f t="shared" si="16"/>
        <v>22</v>
      </c>
      <c r="L352" t="str">
        <f t="shared" si="15"/>
        <v>Invalid DOB</v>
      </c>
      <c r="M352" t="str">
        <f t="shared" si="17"/>
        <v>Invalid DOB</v>
      </c>
    </row>
    <row r="353" spans="1:13" x14ac:dyDescent="0.25">
      <c r="A353" t="s">
        <v>860</v>
      </c>
      <c r="B353" t="s">
        <v>861</v>
      </c>
      <c r="C353" s="6">
        <v>15337</v>
      </c>
      <c r="D353" t="s">
        <v>27</v>
      </c>
      <c r="E353" t="s">
        <v>152</v>
      </c>
      <c r="F353" t="s">
        <v>13</v>
      </c>
      <c r="G353" t="s">
        <v>153</v>
      </c>
      <c r="H353" s="6">
        <v>44785</v>
      </c>
      <c r="I353" s="6">
        <v>44807</v>
      </c>
      <c r="J353" s="4">
        <v>10942.61</v>
      </c>
      <c r="K353">
        <f t="shared" si="16"/>
        <v>22</v>
      </c>
      <c r="L353">
        <f t="shared" si="15"/>
        <v>80</v>
      </c>
      <c r="M353" t="str">
        <f t="shared" si="17"/>
        <v>Older Adults</v>
      </c>
    </row>
    <row r="354" spans="1:13" x14ac:dyDescent="0.25">
      <c r="A354" t="s">
        <v>862</v>
      </c>
      <c r="B354" t="s">
        <v>863</v>
      </c>
      <c r="C354" s="6">
        <v>12656</v>
      </c>
      <c r="D354" t="s">
        <v>27</v>
      </c>
      <c r="E354" t="s">
        <v>142</v>
      </c>
      <c r="F354" t="s">
        <v>200</v>
      </c>
      <c r="G354" t="s">
        <v>143</v>
      </c>
      <c r="H354" s="6">
        <v>44785</v>
      </c>
      <c r="I354" s="6">
        <v>44799</v>
      </c>
      <c r="J354" s="4">
        <v>1561.71</v>
      </c>
      <c r="K354">
        <f t="shared" si="16"/>
        <v>14</v>
      </c>
      <c r="L354">
        <f t="shared" si="15"/>
        <v>87</v>
      </c>
      <c r="M354" t="str">
        <f t="shared" si="17"/>
        <v>Older Adults</v>
      </c>
    </row>
    <row r="355" spans="1:13" x14ac:dyDescent="0.25">
      <c r="A355" t="s">
        <v>864</v>
      </c>
      <c r="B355" t="s">
        <v>865</v>
      </c>
      <c r="C355" s="6">
        <v>43649</v>
      </c>
      <c r="D355" t="s">
        <v>11</v>
      </c>
      <c r="E355" t="s">
        <v>28</v>
      </c>
      <c r="F355" t="s">
        <v>29</v>
      </c>
      <c r="G355" t="s">
        <v>124</v>
      </c>
      <c r="H355" s="6">
        <v>44785</v>
      </c>
      <c r="I355" s="6">
        <v>44786</v>
      </c>
      <c r="J355" s="4">
        <v>24188.42</v>
      </c>
      <c r="K355">
        <f t="shared" si="16"/>
        <v>1</v>
      </c>
      <c r="L355">
        <f t="shared" si="15"/>
        <v>3</v>
      </c>
      <c r="M355" t="str">
        <f t="shared" si="17"/>
        <v>Early childhood</v>
      </c>
    </row>
    <row r="356" spans="1:13" x14ac:dyDescent="0.25">
      <c r="A356" t="s">
        <v>866</v>
      </c>
      <c r="B356" t="s">
        <v>867</v>
      </c>
      <c r="C356" s="6">
        <v>23511</v>
      </c>
      <c r="D356" t="s">
        <v>27</v>
      </c>
      <c r="E356" t="s">
        <v>17</v>
      </c>
      <c r="F356" t="s">
        <v>34</v>
      </c>
      <c r="G356" t="s">
        <v>135</v>
      </c>
      <c r="H356" s="6">
        <v>44787</v>
      </c>
      <c r="I356" s="6">
        <v>44798</v>
      </c>
      <c r="J356" s="4">
        <v>1809.68</v>
      </c>
      <c r="K356">
        <f t="shared" si="16"/>
        <v>11</v>
      </c>
      <c r="L356">
        <f t="shared" si="15"/>
        <v>58</v>
      </c>
      <c r="M356" t="str">
        <f t="shared" si="17"/>
        <v>Adults</v>
      </c>
    </row>
    <row r="357" spans="1:13" x14ac:dyDescent="0.25">
      <c r="A357" t="s">
        <v>868</v>
      </c>
      <c r="B357" t="s">
        <v>869</v>
      </c>
      <c r="C357" s="6">
        <v>19350</v>
      </c>
      <c r="D357" t="s">
        <v>11</v>
      </c>
      <c r="E357" t="s">
        <v>142</v>
      </c>
      <c r="F357" t="s">
        <v>114</v>
      </c>
      <c r="G357" t="s">
        <v>285</v>
      </c>
      <c r="H357" s="6">
        <v>44787</v>
      </c>
      <c r="I357" s="6">
        <v>44806</v>
      </c>
      <c r="J357" s="4">
        <v>970.02</v>
      </c>
      <c r="K357">
        <f t="shared" si="16"/>
        <v>19</v>
      </c>
      <c r="L357">
        <f t="shared" si="15"/>
        <v>69</v>
      </c>
      <c r="M357" t="str">
        <f t="shared" si="17"/>
        <v>Older Adults</v>
      </c>
    </row>
    <row r="358" spans="1:13" x14ac:dyDescent="0.25">
      <c r="A358" t="s">
        <v>870</v>
      </c>
      <c r="B358" t="s">
        <v>871</v>
      </c>
      <c r="C358" s="6">
        <v>24083</v>
      </c>
      <c r="D358" t="s">
        <v>27</v>
      </c>
      <c r="E358" t="s">
        <v>92</v>
      </c>
      <c r="F358" t="s">
        <v>93</v>
      </c>
      <c r="G358" t="s">
        <v>94</v>
      </c>
      <c r="H358" s="6">
        <v>44789</v>
      </c>
      <c r="I358" s="6">
        <v>44819</v>
      </c>
      <c r="J358" s="4">
        <v>2837.71</v>
      </c>
      <c r="K358">
        <f t="shared" si="16"/>
        <v>30</v>
      </c>
      <c r="L358">
        <f t="shared" si="15"/>
        <v>56</v>
      </c>
      <c r="M358" t="str">
        <f t="shared" si="17"/>
        <v>Adults</v>
      </c>
    </row>
    <row r="359" spans="1:13" x14ac:dyDescent="0.25">
      <c r="A359" t="s">
        <v>872</v>
      </c>
      <c r="B359" t="s">
        <v>873</v>
      </c>
      <c r="C359" s="6">
        <v>33248</v>
      </c>
      <c r="D359" t="s">
        <v>11</v>
      </c>
      <c r="E359" t="s">
        <v>84</v>
      </c>
      <c r="F359" t="s">
        <v>426</v>
      </c>
      <c r="G359" t="s">
        <v>238</v>
      </c>
      <c r="H359" s="6">
        <v>44789</v>
      </c>
      <c r="I359" s="6">
        <v>44806</v>
      </c>
      <c r="J359" s="4">
        <v>4081.83</v>
      </c>
      <c r="K359">
        <f t="shared" si="16"/>
        <v>17</v>
      </c>
      <c r="L359">
        <f t="shared" si="15"/>
        <v>31</v>
      </c>
      <c r="M359" t="str">
        <f t="shared" si="17"/>
        <v>Adults</v>
      </c>
    </row>
    <row r="360" spans="1:13" x14ac:dyDescent="0.25">
      <c r="A360" t="s">
        <v>874</v>
      </c>
      <c r="B360" t="s">
        <v>875</v>
      </c>
      <c r="C360" s="6">
        <v>22167</v>
      </c>
      <c r="D360" t="s">
        <v>27</v>
      </c>
      <c r="E360" t="s">
        <v>65</v>
      </c>
      <c r="F360" t="s">
        <v>114</v>
      </c>
      <c r="G360" t="s">
        <v>346</v>
      </c>
      <c r="H360" s="6">
        <v>44790</v>
      </c>
      <c r="I360" s="6">
        <v>44807</v>
      </c>
      <c r="J360" s="4">
        <v>462.03</v>
      </c>
      <c r="K360">
        <f t="shared" si="16"/>
        <v>17</v>
      </c>
      <c r="L360">
        <f t="shared" si="15"/>
        <v>61</v>
      </c>
      <c r="M360" t="str">
        <f t="shared" si="17"/>
        <v>Older Adults</v>
      </c>
    </row>
    <row r="361" spans="1:13" x14ac:dyDescent="0.25">
      <c r="A361" t="s">
        <v>876</v>
      </c>
      <c r="B361" t="s">
        <v>877</v>
      </c>
      <c r="C361" s="6">
        <v>41155</v>
      </c>
      <c r="D361" t="s">
        <v>11</v>
      </c>
      <c r="E361" t="s">
        <v>65</v>
      </c>
      <c r="F361" t="s">
        <v>114</v>
      </c>
      <c r="G361" t="s">
        <v>346</v>
      </c>
      <c r="H361" s="6">
        <v>44791</v>
      </c>
      <c r="I361" s="6">
        <v>44821</v>
      </c>
      <c r="J361" s="4">
        <v>167.73</v>
      </c>
      <c r="K361">
        <f t="shared" si="16"/>
        <v>30</v>
      </c>
      <c r="L361">
        <f t="shared" si="15"/>
        <v>9</v>
      </c>
      <c r="M361" t="str">
        <f t="shared" si="17"/>
        <v>Children and Adolescent</v>
      </c>
    </row>
    <row r="362" spans="1:13" x14ac:dyDescent="0.25">
      <c r="A362" t="s">
        <v>878</v>
      </c>
      <c r="B362" t="s">
        <v>879</v>
      </c>
      <c r="C362" s="6">
        <v>11362</v>
      </c>
      <c r="D362" t="s">
        <v>27</v>
      </c>
      <c r="E362" t="s">
        <v>65</v>
      </c>
      <c r="F362" t="s">
        <v>518</v>
      </c>
      <c r="G362" t="s">
        <v>519</v>
      </c>
      <c r="H362" s="6">
        <v>44792</v>
      </c>
      <c r="I362" s="6">
        <v>44812</v>
      </c>
      <c r="J362" s="4">
        <v>128.82</v>
      </c>
      <c r="K362">
        <f t="shared" si="16"/>
        <v>20</v>
      </c>
      <c r="L362">
        <f t="shared" si="15"/>
        <v>91</v>
      </c>
      <c r="M362" t="str">
        <f t="shared" si="17"/>
        <v>Older Adults</v>
      </c>
    </row>
    <row r="363" spans="1:13" x14ac:dyDescent="0.25">
      <c r="A363" t="s">
        <v>880</v>
      </c>
      <c r="B363" t="s">
        <v>881</v>
      </c>
      <c r="C363" s="6">
        <v>35264</v>
      </c>
      <c r="D363" t="s">
        <v>11</v>
      </c>
      <c r="E363" t="s">
        <v>28</v>
      </c>
      <c r="F363" t="s">
        <v>43</v>
      </c>
      <c r="G363" t="s">
        <v>44</v>
      </c>
      <c r="H363" s="6">
        <v>44795</v>
      </c>
      <c r="I363" s="6">
        <v>44824</v>
      </c>
      <c r="J363" s="4">
        <v>26123.79</v>
      </c>
      <c r="K363">
        <f t="shared" si="16"/>
        <v>29</v>
      </c>
      <c r="L363">
        <f t="shared" si="15"/>
        <v>26</v>
      </c>
      <c r="M363" t="str">
        <f t="shared" si="17"/>
        <v>Adults</v>
      </c>
    </row>
    <row r="364" spans="1:13" x14ac:dyDescent="0.25">
      <c r="A364" t="s">
        <v>882</v>
      </c>
      <c r="B364" t="s">
        <v>883</v>
      </c>
      <c r="C364" s="6">
        <v>11786</v>
      </c>
      <c r="D364" t="s">
        <v>27</v>
      </c>
      <c r="E364" t="s">
        <v>12</v>
      </c>
      <c r="F364" t="s">
        <v>172</v>
      </c>
      <c r="G364" t="s">
        <v>69</v>
      </c>
      <c r="H364" s="6">
        <v>44795</v>
      </c>
      <c r="I364" s="6">
        <v>44820</v>
      </c>
      <c r="J364" s="4">
        <v>11162.64</v>
      </c>
      <c r="K364">
        <f t="shared" si="16"/>
        <v>25</v>
      </c>
      <c r="L364">
        <f t="shared" si="15"/>
        <v>90</v>
      </c>
      <c r="M364" t="str">
        <f t="shared" si="17"/>
        <v>Older Adults</v>
      </c>
    </row>
    <row r="365" spans="1:13" x14ac:dyDescent="0.25">
      <c r="A365" t="s">
        <v>884</v>
      </c>
      <c r="B365" t="s">
        <v>885</v>
      </c>
      <c r="C365" s="6">
        <v>34973</v>
      </c>
      <c r="D365" t="s">
        <v>11</v>
      </c>
      <c r="E365" t="s">
        <v>33</v>
      </c>
      <c r="F365" t="s">
        <v>13</v>
      </c>
      <c r="G365" t="s">
        <v>378</v>
      </c>
      <c r="H365" s="6">
        <v>44796</v>
      </c>
      <c r="I365" s="6">
        <v>44813</v>
      </c>
      <c r="J365" s="4">
        <v>4097.88</v>
      </c>
      <c r="K365">
        <f t="shared" si="16"/>
        <v>17</v>
      </c>
      <c r="L365">
        <f t="shared" si="15"/>
        <v>26</v>
      </c>
      <c r="M365" t="str">
        <f t="shared" si="17"/>
        <v>Adults</v>
      </c>
    </row>
    <row r="366" spans="1:13" x14ac:dyDescent="0.25">
      <c r="A366" t="s">
        <v>886</v>
      </c>
      <c r="B366" t="s">
        <v>887</v>
      </c>
      <c r="C366" s="6">
        <v>42775</v>
      </c>
      <c r="D366" t="s">
        <v>27</v>
      </c>
      <c r="E366" t="s">
        <v>362</v>
      </c>
      <c r="F366" t="s">
        <v>799</v>
      </c>
      <c r="G366" t="s">
        <v>659</v>
      </c>
      <c r="H366" s="6">
        <v>44796</v>
      </c>
      <c r="I366" s="6">
        <v>44815</v>
      </c>
      <c r="J366" s="4">
        <v>16158.65</v>
      </c>
      <c r="K366">
        <f t="shared" si="16"/>
        <v>19</v>
      </c>
      <c r="L366">
        <f t="shared" si="15"/>
        <v>5</v>
      </c>
      <c r="M366" t="str">
        <f t="shared" si="17"/>
        <v>Children and Adolescent</v>
      </c>
    </row>
    <row r="367" spans="1:13" x14ac:dyDescent="0.25">
      <c r="A367" t="s">
        <v>888</v>
      </c>
      <c r="B367" t="s">
        <v>889</v>
      </c>
      <c r="C367" s="6">
        <v>29812</v>
      </c>
      <c r="D367" t="s">
        <v>27</v>
      </c>
      <c r="E367" t="s">
        <v>65</v>
      </c>
      <c r="F367" t="s">
        <v>23</v>
      </c>
      <c r="G367" t="s">
        <v>519</v>
      </c>
      <c r="H367" s="6">
        <v>44797</v>
      </c>
      <c r="I367" s="6">
        <v>44805</v>
      </c>
      <c r="J367" s="4">
        <v>247.55</v>
      </c>
      <c r="K367">
        <f t="shared" si="16"/>
        <v>8</v>
      </c>
      <c r="L367">
        <f t="shared" si="15"/>
        <v>41</v>
      </c>
      <c r="M367" t="str">
        <f t="shared" si="17"/>
        <v>Adults</v>
      </c>
    </row>
    <row r="368" spans="1:13" x14ac:dyDescent="0.25">
      <c r="A368" s="1" t="s">
        <v>890</v>
      </c>
      <c r="B368" t="s">
        <v>891</v>
      </c>
      <c r="C368" s="6">
        <v>19449</v>
      </c>
      <c r="D368" t="s">
        <v>27</v>
      </c>
      <c r="E368" t="s">
        <v>271</v>
      </c>
      <c r="F368" t="s">
        <v>299</v>
      </c>
      <c r="G368" t="s">
        <v>273</v>
      </c>
      <c r="H368" s="6">
        <v>44797</v>
      </c>
      <c r="I368" s="6">
        <v>44814</v>
      </c>
      <c r="J368" s="4">
        <v>606.69000000000005</v>
      </c>
      <c r="K368">
        <f t="shared" si="16"/>
        <v>17</v>
      </c>
      <c r="L368">
        <f t="shared" si="15"/>
        <v>69</v>
      </c>
      <c r="M368" t="str">
        <f t="shared" si="17"/>
        <v>Older Adults</v>
      </c>
    </row>
    <row r="369" spans="1:13" x14ac:dyDescent="0.25">
      <c r="A369" t="s">
        <v>892</v>
      </c>
      <c r="B369" t="s">
        <v>893</v>
      </c>
      <c r="C369" s="6">
        <v>13918</v>
      </c>
      <c r="D369" t="s">
        <v>27</v>
      </c>
      <c r="E369" t="s">
        <v>65</v>
      </c>
      <c r="F369" t="s">
        <v>23</v>
      </c>
      <c r="G369" t="s">
        <v>519</v>
      </c>
      <c r="H369" s="6">
        <v>44797</v>
      </c>
      <c r="I369" s="6">
        <v>44806</v>
      </c>
      <c r="J369" s="4">
        <v>365.99</v>
      </c>
      <c r="K369">
        <f t="shared" si="16"/>
        <v>9</v>
      </c>
      <c r="L369">
        <f t="shared" si="15"/>
        <v>84</v>
      </c>
      <c r="M369" t="str">
        <f t="shared" si="17"/>
        <v>Older Adults</v>
      </c>
    </row>
    <row r="370" spans="1:13" x14ac:dyDescent="0.25">
      <c r="A370" t="s">
        <v>894</v>
      </c>
      <c r="B370" t="s">
        <v>895</v>
      </c>
      <c r="C370" s="6">
        <v>32516</v>
      </c>
      <c r="D370" t="s">
        <v>11</v>
      </c>
      <c r="E370" t="s">
        <v>60</v>
      </c>
      <c r="F370" t="s">
        <v>88</v>
      </c>
      <c r="G370" t="s">
        <v>62</v>
      </c>
      <c r="H370" s="6">
        <v>44798</v>
      </c>
      <c r="I370" s="6">
        <v>44817</v>
      </c>
      <c r="J370" s="4">
        <v>20577.2</v>
      </c>
      <c r="K370">
        <f t="shared" si="16"/>
        <v>19</v>
      </c>
      <c r="L370">
        <f t="shared" si="15"/>
        <v>33</v>
      </c>
      <c r="M370" t="str">
        <f t="shared" si="17"/>
        <v>Adults</v>
      </c>
    </row>
    <row r="371" spans="1:13" x14ac:dyDescent="0.25">
      <c r="A371" t="s">
        <v>896</v>
      </c>
      <c r="B371" t="s">
        <v>897</v>
      </c>
      <c r="C371" s="6">
        <v>23163</v>
      </c>
      <c r="D371" t="s">
        <v>11</v>
      </c>
      <c r="E371" t="s">
        <v>60</v>
      </c>
      <c r="F371" t="s">
        <v>61</v>
      </c>
      <c r="G371" t="s">
        <v>62</v>
      </c>
      <c r="H371" s="6">
        <v>44800</v>
      </c>
      <c r="I371" s="6">
        <v>44814</v>
      </c>
      <c r="J371" s="4">
        <v>74873.58</v>
      </c>
      <c r="K371">
        <f t="shared" si="16"/>
        <v>14</v>
      </c>
      <c r="L371">
        <f t="shared" si="15"/>
        <v>59</v>
      </c>
      <c r="M371" t="str">
        <f t="shared" si="17"/>
        <v>Adults</v>
      </c>
    </row>
    <row r="372" spans="1:13" x14ac:dyDescent="0.25">
      <c r="A372" t="s">
        <v>898</v>
      </c>
      <c r="B372" t="s">
        <v>899</v>
      </c>
      <c r="C372" s="6">
        <v>32892</v>
      </c>
      <c r="D372" t="s">
        <v>11</v>
      </c>
      <c r="E372" t="s">
        <v>28</v>
      </c>
      <c r="F372" t="s">
        <v>29</v>
      </c>
      <c r="G372" t="s">
        <v>124</v>
      </c>
      <c r="H372" s="6">
        <v>44800</v>
      </c>
      <c r="I372" s="6">
        <v>44814</v>
      </c>
      <c r="J372" s="4">
        <v>22498.799999999999</v>
      </c>
      <c r="K372">
        <f t="shared" si="16"/>
        <v>14</v>
      </c>
      <c r="L372">
        <f t="shared" si="15"/>
        <v>32</v>
      </c>
      <c r="M372" t="str">
        <f t="shared" si="17"/>
        <v>Adults</v>
      </c>
    </row>
    <row r="373" spans="1:13" x14ac:dyDescent="0.25">
      <c r="A373" t="s">
        <v>900</v>
      </c>
      <c r="B373" t="s">
        <v>901</v>
      </c>
      <c r="C373" s="6">
        <v>20091</v>
      </c>
      <c r="D373" t="s">
        <v>27</v>
      </c>
      <c r="E373" t="s">
        <v>28</v>
      </c>
      <c r="F373" t="s">
        <v>43</v>
      </c>
      <c r="G373" t="s">
        <v>44</v>
      </c>
      <c r="H373" s="6">
        <v>44800</v>
      </c>
      <c r="I373" s="6">
        <v>44816</v>
      </c>
      <c r="J373" s="4">
        <v>23351.26</v>
      </c>
      <c r="K373">
        <f t="shared" si="16"/>
        <v>16</v>
      </c>
      <c r="L373">
        <f t="shared" si="15"/>
        <v>67</v>
      </c>
      <c r="M373" t="str">
        <f t="shared" si="17"/>
        <v>Older Adults</v>
      </c>
    </row>
    <row r="374" spans="1:13" x14ac:dyDescent="0.25">
      <c r="A374" t="s">
        <v>902</v>
      </c>
      <c r="B374" t="s">
        <v>903</v>
      </c>
      <c r="C374" s="6">
        <v>31127</v>
      </c>
      <c r="D374" t="s">
        <v>11</v>
      </c>
      <c r="E374" t="s">
        <v>33</v>
      </c>
      <c r="F374" t="s">
        <v>13</v>
      </c>
      <c r="G374" t="s">
        <v>378</v>
      </c>
      <c r="H374" s="6">
        <v>44800</v>
      </c>
      <c r="I374" s="6">
        <v>44819</v>
      </c>
      <c r="J374" s="4">
        <v>1797.53</v>
      </c>
      <c r="K374">
        <f t="shared" si="16"/>
        <v>19</v>
      </c>
      <c r="L374">
        <f t="shared" si="15"/>
        <v>37</v>
      </c>
      <c r="M374" t="str">
        <f t="shared" si="17"/>
        <v>Adults</v>
      </c>
    </row>
    <row r="375" spans="1:13" x14ac:dyDescent="0.25">
      <c r="A375" t="s">
        <v>904</v>
      </c>
      <c r="B375" t="s">
        <v>905</v>
      </c>
      <c r="C375" s="6">
        <v>12029</v>
      </c>
      <c r="D375" t="s">
        <v>27</v>
      </c>
      <c r="E375" t="s">
        <v>152</v>
      </c>
      <c r="F375" t="s">
        <v>13</v>
      </c>
      <c r="G375" t="s">
        <v>195</v>
      </c>
      <c r="H375" s="6">
        <v>44801</v>
      </c>
      <c r="I375" s="6">
        <v>44817</v>
      </c>
      <c r="J375" s="4">
        <v>16991.59</v>
      </c>
      <c r="K375">
        <f t="shared" si="16"/>
        <v>16</v>
      </c>
      <c r="L375">
        <f t="shared" si="15"/>
        <v>89</v>
      </c>
      <c r="M375" t="str">
        <f t="shared" si="17"/>
        <v>Older Adults</v>
      </c>
    </row>
    <row r="376" spans="1:13" x14ac:dyDescent="0.25">
      <c r="A376" t="s">
        <v>906</v>
      </c>
      <c r="B376" t="s">
        <v>907</v>
      </c>
      <c r="C376" s="6">
        <v>21933</v>
      </c>
      <c r="D376" t="s">
        <v>27</v>
      </c>
      <c r="E376" t="s">
        <v>163</v>
      </c>
      <c r="F376" t="s">
        <v>164</v>
      </c>
      <c r="G376" t="s">
        <v>233</v>
      </c>
      <c r="H376" s="6">
        <v>44802</v>
      </c>
      <c r="I376" s="6">
        <v>44819</v>
      </c>
      <c r="J376" s="4">
        <v>41845.949999999997</v>
      </c>
      <c r="K376">
        <f t="shared" si="16"/>
        <v>17</v>
      </c>
      <c r="L376">
        <f t="shared" si="15"/>
        <v>62</v>
      </c>
      <c r="M376" t="str">
        <f t="shared" si="17"/>
        <v>Older Adults</v>
      </c>
    </row>
    <row r="377" spans="1:13" x14ac:dyDescent="0.25">
      <c r="A377" t="s">
        <v>908</v>
      </c>
      <c r="B377" t="s">
        <v>909</v>
      </c>
      <c r="C377" s="6">
        <v>44091</v>
      </c>
      <c r="D377" t="s">
        <v>11</v>
      </c>
      <c r="E377" t="s">
        <v>51</v>
      </c>
      <c r="F377" t="s">
        <v>29</v>
      </c>
      <c r="G377" t="s">
        <v>662</v>
      </c>
      <c r="H377" s="6">
        <v>44802</v>
      </c>
      <c r="I377" s="6">
        <v>44810</v>
      </c>
      <c r="J377" s="4">
        <v>8803.19</v>
      </c>
      <c r="K377">
        <f t="shared" si="16"/>
        <v>8</v>
      </c>
      <c r="L377">
        <f t="shared" si="15"/>
        <v>1</v>
      </c>
      <c r="M377" t="str">
        <f t="shared" si="17"/>
        <v>Early childhood</v>
      </c>
    </row>
    <row r="378" spans="1:13" x14ac:dyDescent="0.25">
      <c r="A378" t="s">
        <v>910</v>
      </c>
      <c r="B378" t="s">
        <v>911</v>
      </c>
      <c r="C378" s="6">
        <v>44776</v>
      </c>
      <c r="D378" t="s">
        <v>27</v>
      </c>
      <c r="E378" t="s">
        <v>187</v>
      </c>
      <c r="F378" t="s">
        <v>188</v>
      </c>
      <c r="G378" t="s">
        <v>353</v>
      </c>
      <c r="H378" s="6">
        <v>44806</v>
      </c>
      <c r="I378" s="6">
        <v>44826</v>
      </c>
      <c r="J378" s="4">
        <v>14405.82</v>
      </c>
      <c r="K378">
        <f t="shared" si="16"/>
        <v>20</v>
      </c>
      <c r="L378">
        <f t="shared" si="15"/>
        <v>0</v>
      </c>
      <c r="M378" t="str">
        <f t="shared" si="17"/>
        <v>Early childhood</v>
      </c>
    </row>
    <row r="379" spans="1:13" x14ac:dyDescent="0.25">
      <c r="A379" t="s">
        <v>912</v>
      </c>
      <c r="B379" t="s">
        <v>913</v>
      </c>
      <c r="C379" s="6">
        <v>20450</v>
      </c>
      <c r="D379" t="s">
        <v>27</v>
      </c>
      <c r="E379" t="s">
        <v>163</v>
      </c>
      <c r="F379" t="s">
        <v>13</v>
      </c>
      <c r="G379" t="s">
        <v>165</v>
      </c>
      <c r="H379" s="6">
        <v>44806</v>
      </c>
      <c r="I379" s="6">
        <v>44815</v>
      </c>
      <c r="J379" s="4">
        <v>10211.709999999999</v>
      </c>
      <c r="K379">
        <f t="shared" si="16"/>
        <v>9</v>
      </c>
      <c r="L379">
        <f t="shared" si="15"/>
        <v>66</v>
      </c>
      <c r="M379" t="str">
        <f t="shared" si="17"/>
        <v>Older Adults</v>
      </c>
    </row>
    <row r="380" spans="1:13" x14ac:dyDescent="0.25">
      <c r="A380" t="s">
        <v>914</v>
      </c>
      <c r="B380" t="s">
        <v>915</v>
      </c>
      <c r="C380" s="6">
        <v>19624</v>
      </c>
      <c r="D380" t="s">
        <v>11</v>
      </c>
      <c r="E380" t="s">
        <v>271</v>
      </c>
      <c r="F380" t="s">
        <v>272</v>
      </c>
      <c r="G380" t="s">
        <v>313</v>
      </c>
      <c r="H380" s="6">
        <v>44807</v>
      </c>
      <c r="I380" s="6">
        <v>44828</v>
      </c>
      <c r="J380" s="4">
        <v>449.53</v>
      </c>
      <c r="K380">
        <f t="shared" si="16"/>
        <v>21</v>
      </c>
      <c r="L380">
        <f t="shared" si="15"/>
        <v>68</v>
      </c>
      <c r="M380" t="str">
        <f t="shared" si="17"/>
        <v>Older Adults</v>
      </c>
    </row>
    <row r="381" spans="1:13" x14ac:dyDescent="0.25">
      <c r="A381" t="s">
        <v>916</v>
      </c>
      <c r="B381" t="s">
        <v>917</v>
      </c>
      <c r="C381" s="6">
        <v>26122</v>
      </c>
      <c r="D381" t="s">
        <v>11</v>
      </c>
      <c r="E381" t="s">
        <v>17</v>
      </c>
      <c r="F381" t="s">
        <v>18</v>
      </c>
      <c r="G381" t="s">
        <v>318</v>
      </c>
      <c r="H381" s="6">
        <v>44808</v>
      </c>
      <c r="I381" s="6">
        <v>44836</v>
      </c>
      <c r="J381" s="4">
        <v>1079.6400000000001</v>
      </c>
      <c r="K381">
        <f t="shared" si="16"/>
        <v>28</v>
      </c>
      <c r="L381">
        <f t="shared" si="15"/>
        <v>51</v>
      </c>
      <c r="M381" t="str">
        <f t="shared" si="17"/>
        <v>Adults</v>
      </c>
    </row>
    <row r="382" spans="1:13" x14ac:dyDescent="0.25">
      <c r="A382" t="s">
        <v>918</v>
      </c>
      <c r="B382" t="s">
        <v>919</v>
      </c>
      <c r="C382" s="6">
        <v>16484</v>
      </c>
      <c r="D382" t="s">
        <v>27</v>
      </c>
      <c r="E382" t="s">
        <v>92</v>
      </c>
      <c r="F382" t="s">
        <v>93</v>
      </c>
      <c r="G382" t="s">
        <v>94</v>
      </c>
      <c r="H382" s="6">
        <v>44809</v>
      </c>
      <c r="I382" s="6">
        <v>44838</v>
      </c>
      <c r="J382" s="4">
        <v>2458.92</v>
      </c>
      <c r="K382">
        <f t="shared" si="16"/>
        <v>29</v>
      </c>
      <c r="L382">
        <f t="shared" si="15"/>
        <v>77</v>
      </c>
      <c r="M382" t="str">
        <f t="shared" si="17"/>
        <v>Older Adults</v>
      </c>
    </row>
    <row r="383" spans="1:13" x14ac:dyDescent="0.25">
      <c r="A383" t="s">
        <v>920</v>
      </c>
      <c r="B383" t="s">
        <v>921</v>
      </c>
      <c r="C383" s="6">
        <v>9270</v>
      </c>
      <c r="D383" t="s">
        <v>11</v>
      </c>
      <c r="E383" t="s">
        <v>28</v>
      </c>
      <c r="F383" t="s">
        <v>43</v>
      </c>
      <c r="G383" t="s">
        <v>124</v>
      </c>
      <c r="H383" s="6">
        <v>44809</v>
      </c>
      <c r="I383" s="6">
        <v>44823</v>
      </c>
      <c r="J383" s="4">
        <v>29711.34</v>
      </c>
      <c r="K383">
        <f t="shared" si="16"/>
        <v>14</v>
      </c>
      <c r="L383">
        <f t="shared" si="15"/>
        <v>97</v>
      </c>
      <c r="M383" t="str">
        <f t="shared" si="17"/>
        <v>Older Adults</v>
      </c>
    </row>
    <row r="384" spans="1:13" x14ac:dyDescent="0.25">
      <c r="A384" t="s">
        <v>922</v>
      </c>
      <c r="B384" t="s">
        <v>923</v>
      </c>
      <c r="C384" s="6">
        <v>23123</v>
      </c>
      <c r="D384" t="s">
        <v>27</v>
      </c>
      <c r="E384" t="s">
        <v>152</v>
      </c>
      <c r="F384" t="s">
        <v>13</v>
      </c>
      <c r="G384" t="s">
        <v>153</v>
      </c>
      <c r="H384" s="6">
        <v>44810</v>
      </c>
      <c r="I384" s="6">
        <v>44813</v>
      </c>
      <c r="J384" s="4">
        <v>11614.86</v>
      </c>
      <c r="K384">
        <f t="shared" si="16"/>
        <v>3</v>
      </c>
      <c r="L384">
        <f t="shared" si="15"/>
        <v>59</v>
      </c>
      <c r="M384" t="str">
        <f t="shared" si="17"/>
        <v>Adults</v>
      </c>
    </row>
    <row r="385" spans="1:13" x14ac:dyDescent="0.25">
      <c r="A385" t="s">
        <v>924</v>
      </c>
      <c r="B385" t="s">
        <v>925</v>
      </c>
      <c r="C385" s="6">
        <v>37175</v>
      </c>
      <c r="D385" t="s">
        <v>11</v>
      </c>
      <c r="E385" t="s">
        <v>60</v>
      </c>
      <c r="F385" t="s">
        <v>61</v>
      </c>
      <c r="G385" t="s">
        <v>89</v>
      </c>
      <c r="H385" s="6">
        <v>44810</v>
      </c>
      <c r="I385" s="6">
        <v>44815</v>
      </c>
      <c r="J385" s="4">
        <v>38930.03</v>
      </c>
      <c r="K385">
        <f t="shared" si="16"/>
        <v>5</v>
      </c>
      <c r="L385">
        <f t="shared" si="15"/>
        <v>20</v>
      </c>
      <c r="M385" t="str">
        <f t="shared" si="17"/>
        <v>Young Adults</v>
      </c>
    </row>
    <row r="386" spans="1:13" x14ac:dyDescent="0.25">
      <c r="A386" t="s">
        <v>926</v>
      </c>
      <c r="B386" t="s">
        <v>927</v>
      </c>
      <c r="C386" s="6">
        <v>21521</v>
      </c>
      <c r="D386" t="s">
        <v>11</v>
      </c>
      <c r="E386" t="s">
        <v>152</v>
      </c>
      <c r="F386" t="s">
        <v>13</v>
      </c>
      <c r="G386" t="s">
        <v>153</v>
      </c>
      <c r="H386" s="6">
        <v>44812</v>
      </c>
      <c r="I386" s="6">
        <v>44814</v>
      </c>
      <c r="J386" s="4">
        <v>5225.13</v>
      </c>
      <c r="K386">
        <f t="shared" si="16"/>
        <v>2</v>
      </c>
      <c r="L386">
        <f t="shared" ref="L386:L449" si="18">IF(C386&gt;H386,"Invalid DOB",DATEDIF(C386,H386,"Y"))</f>
        <v>63</v>
      </c>
      <c r="M386" t="str">
        <f t="shared" si="17"/>
        <v>Older Adults</v>
      </c>
    </row>
    <row r="387" spans="1:13" x14ac:dyDescent="0.25">
      <c r="A387" t="s">
        <v>928</v>
      </c>
      <c r="B387" t="s">
        <v>929</v>
      </c>
      <c r="C387" s="6">
        <v>17371</v>
      </c>
      <c r="D387" t="s">
        <v>27</v>
      </c>
      <c r="E387" t="s">
        <v>55</v>
      </c>
      <c r="F387" t="s">
        <v>217</v>
      </c>
      <c r="G387" t="s">
        <v>218</v>
      </c>
      <c r="H387" s="6">
        <v>44815</v>
      </c>
      <c r="I387" s="6">
        <v>44845</v>
      </c>
      <c r="J387" s="4">
        <v>3417.84</v>
      </c>
      <c r="K387">
        <f t="shared" ref="K387:K450" si="19">I387-H387</f>
        <v>30</v>
      </c>
      <c r="L387">
        <f t="shared" si="18"/>
        <v>75</v>
      </c>
      <c r="M387" t="str">
        <f t="shared" ref="M387:M450" si="20">IF(L387="Invalid DOB","Invalid DOB",IF(L387&lt;=4,"Early childhood",IF(L387&lt;=17,"Children and Adolescent",IF(L387&lt;=24,"Young Adults",IF(L387&lt;=59,"Adults","Older Adults")))))</f>
        <v>Older Adults</v>
      </c>
    </row>
    <row r="388" spans="1:13" x14ac:dyDescent="0.25">
      <c r="A388" t="s">
        <v>930</v>
      </c>
      <c r="B388" t="s">
        <v>931</v>
      </c>
      <c r="C388" s="6">
        <v>42596</v>
      </c>
      <c r="D388" t="s">
        <v>11</v>
      </c>
      <c r="E388" t="s">
        <v>38</v>
      </c>
      <c r="F388" t="s">
        <v>39</v>
      </c>
      <c r="G388" t="s">
        <v>117</v>
      </c>
      <c r="H388" s="6">
        <v>44816</v>
      </c>
      <c r="I388" s="6">
        <v>44842</v>
      </c>
      <c r="J388" s="4">
        <v>2331.06</v>
      </c>
      <c r="K388">
        <f t="shared" si="19"/>
        <v>26</v>
      </c>
      <c r="L388">
        <f t="shared" si="18"/>
        <v>6</v>
      </c>
      <c r="M388" t="str">
        <f t="shared" si="20"/>
        <v>Children and Adolescent</v>
      </c>
    </row>
    <row r="389" spans="1:13" x14ac:dyDescent="0.25">
      <c r="A389" t="s">
        <v>932</v>
      </c>
      <c r="B389" t="s">
        <v>933</v>
      </c>
      <c r="C389" s="6">
        <v>29799</v>
      </c>
      <c r="D389" t="s">
        <v>27</v>
      </c>
      <c r="E389" t="s">
        <v>97</v>
      </c>
      <c r="F389" t="s">
        <v>98</v>
      </c>
      <c r="G389" t="s">
        <v>132</v>
      </c>
      <c r="H389" s="6">
        <v>44816</v>
      </c>
      <c r="I389" s="6">
        <v>44846</v>
      </c>
      <c r="J389" s="4">
        <v>412.26</v>
      </c>
      <c r="K389">
        <f t="shared" si="19"/>
        <v>30</v>
      </c>
      <c r="L389">
        <f t="shared" si="18"/>
        <v>41</v>
      </c>
      <c r="M389" t="str">
        <f t="shared" si="20"/>
        <v>Adults</v>
      </c>
    </row>
    <row r="390" spans="1:13" x14ac:dyDescent="0.25">
      <c r="A390" t="s">
        <v>934</v>
      </c>
      <c r="B390" t="s">
        <v>935</v>
      </c>
      <c r="C390" s="6">
        <v>35181</v>
      </c>
      <c r="D390" t="s">
        <v>27</v>
      </c>
      <c r="E390" t="s">
        <v>47</v>
      </c>
      <c r="F390" t="s">
        <v>340</v>
      </c>
      <c r="G390" t="s">
        <v>243</v>
      </c>
      <c r="H390" s="6">
        <v>44818</v>
      </c>
      <c r="I390" s="6">
        <v>44841</v>
      </c>
      <c r="J390" s="4">
        <v>9924.17</v>
      </c>
      <c r="K390">
        <f t="shared" si="19"/>
        <v>23</v>
      </c>
      <c r="L390">
        <f t="shared" si="18"/>
        <v>26</v>
      </c>
      <c r="M390" t="str">
        <f t="shared" si="20"/>
        <v>Adults</v>
      </c>
    </row>
    <row r="391" spans="1:13" x14ac:dyDescent="0.25">
      <c r="A391" t="s">
        <v>936</v>
      </c>
      <c r="B391" t="s">
        <v>937</v>
      </c>
      <c r="C391" s="6">
        <v>36097</v>
      </c>
      <c r="D391" t="s">
        <v>27</v>
      </c>
      <c r="E391" t="s">
        <v>97</v>
      </c>
      <c r="F391" t="s">
        <v>98</v>
      </c>
      <c r="G391" t="s">
        <v>221</v>
      </c>
      <c r="H391" s="6">
        <v>44818</v>
      </c>
      <c r="I391" s="6">
        <v>44824</v>
      </c>
      <c r="J391" s="4">
        <v>484.66</v>
      </c>
      <c r="K391">
        <f t="shared" si="19"/>
        <v>6</v>
      </c>
      <c r="L391">
        <f t="shared" si="18"/>
        <v>23</v>
      </c>
      <c r="M391" t="str">
        <f t="shared" si="20"/>
        <v>Young Adults</v>
      </c>
    </row>
    <row r="392" spans="1:13" x14ac:dyDescent="0.25">
      <c r="A392" t="s">
        <v>938</v>
      </c>
      <c r="B392" t="s">
        <v>939</v>
      </c>
      <c r="C392" s="6">
        <v>19925</v>
      </c>
      <c r="D392" t="s">
        <v>11</v>
      </c>
      <c r="E392" t="s">
        <v>65</v>
      </c>
      <c r="F392" t="s">
        <v>114</v>
      </c>
      <c r="G392" t="s">
        <v>66</v>
      </c>
      <c r="H392" s="6">
        <v>44820</v>
      </c>
      <c r="I392" s="6">
        <v>44830</v>
      </c>
      <c r="J392" s="4">
        <v>260.62</v>
      </c>
      <c r="K392">
        <f t="shared" si="19"/>
        <v>10</v>
      </c>
      <c r="L392">
        <f t="shared" si="18"/>
        <v>68</v>
      </c>
      <c r="M392" t="str">
        <f t="shared" si="20"/>
        <v>Older Adults</v>
      </c>
    </row>
    <row r="393" spans="1:13" x14ac:dyDescent="0.25">
      <c r="A393" t="s">
        <v>940</v>
      </c>
      <c r="B393" t="s">
        <v>941</v>
      </c>
      <c r="C393" s="6">
        <v>12051</v>
      </c>
      <c r="D393" t="s">
        <v>11</v>
      </c>
      <c r="E393" t="s">
        <v>102</v>
      </c>
      <c r="F393" t="s">
        <v>172</v>
      </c>
      <c r="G393" t="s">
        <v>160</v>
      </c>
      <c r="H393" s="6">
        <v>44822</v>
      </c>
      <c r="I393" s="6">
        <v>44828</v>
      </c>
      <c r="J393" s="4">
        <v>47984.27</v>
      </c>
      <c r="K393">
        <f t="shared" si="19"/>
        <v>6</v>
      </c>
      <c r="L393">
        <f t="shared" si="18"/>
        <v>89</v>
      </c>
      <c r="M393" t="str">
        <f t="shared" si="20"/>
        <v>Older Adults</v>
      </c>
    </row>
    <row r="394" spans="1:13" x14ac:dyDescent="0.25">
      <c r="A394" t="s">
        <v>942</v>
      </c>
      <c r="B394" t="s">
        <v>943</v>
      </c>
      <c r="C394" s="6">
        <v>34117</v>
      </c>
      <c r="D394" t="s">
        <v>11</v>
      </c>
      <c r="E394" t="s">
        <v>302</v>
      </c>
      <c r="F394" t="s">
        <v>13</v>
      </c>
      <c r="G394" t="s">
        <v>408</v>
      </c>
      <c r="H394" s="6">
        <v>44822</v>
      </c>
      <c r="I394" s="6">
        <v>44830</v>
      </c>
      <c r="J394" s="4">
        <v>12882.22</v>
      </c>
      <c r="K394">
        <f t="shared" si="19"/>
        <v>8</v>
      </c>
      <c r="L394">
        <f t="shared" si="18"/>
        <v>29</v>
      </c>
      <c r="M394" t="str">
        <f t="shared" si="20"/>
        <v>Adults</v>
      </c>
    </row>
    <row r="395" spans="1:13" x14ac:dyDescent="0.25">
      <c r="A395" t="s">
        <v>944</v>
      </c>
      <c r="B395" t="s">
        <v>945</v>
      </c>
      <c r="C395" s="6">
        <v>10802</v>
      </c>
      <c r="D395" t="s">
        <v>27</v>
      </c>
      <c r="E395" t="s">
        <v>80</v>
      </c>
      <c r="F395" t="s">
        <v>29</v>
      </c>
      <c r="G395" t="s">
        <v>444</v>
      </c>
      <c r="H395" s="6">
        <v>44823</v>
      </c>
      <c r="I395" s="6">
        <v>44831</v>
      </c>
      <c r="J395" s="4">
        <v>14698.99</v>
      </c>
      <c r="K395">
        <f t="shared" si="19"/>
        <v>8</v>
      </c>
      <c r="L395">
        <f t="shared" si="18"/>
        <v>93</v>
      </c>
      <c r="M395" t="str">
        <f t="shared" si="20"/>
        <v>Older Adults</v>
      </c>
    </row>
    <row r="396" spans="1:13" x14ac:dyDescent="0.25">
      <c r="A396" t="s">
        <v>946</v>
      </c>
      <c r="B396" t="s">
        <v>947</v>
      </c>
      <c r="C396" s="6">
        <v>10389</v>
      </c>
      <c r="D396" t="s">
        <v>27</v>
      </c>
      <c r="E396" t="s">
        <v>281</v>
      </c>
      <c r="F396" t="s">
        <v>188</v>
      </c>
      <c r="G396" t="s">
        <v>282</v>
      </c>
      <c r="H396" s="6">
        <v>44825</v>
      </c>
      <c r="I396" s="6">
        <v>44855</v>
      </c>
      <c r="J396" s="4">
        <v>49163.76</v>
      </c>
      <c r="K396">
        <f t="shared" si="19"/>
        <v>30</v>
      </c>
      <c r="L396">
        <f t="shared" si="18"/>
        <v>94</v>
      </c>
      <c r="M396" t="str">
        <f t="shared" si="20"/>
        <v>Older Adults</v>
      </c>
    </row>
    <row r="397" spans="1:13" x14ac:dyDescent="0.25">
      <c r="A397" t="s">
        <v>948</v>
      </c>
      <c r="B397" t="s">
        <v>949</v>
      </c>
      <c r="C397" s="6">
        <v>18815</v>
      </c>
      <c r="D397" t="s">
        <v>11</v>
      </c>
      <c r="E397" t="s">
        <v>84</v>
      </c>
      <c r="F397" t="s">
        <v>426</v>
      </c>
      <c r="G397" t="s">
        <v>19</v>
      </c>
      <c r="H397" s="6">
        <v>44826</v>
      </c>
      <c r="I397" s="6">
        <v>44846</v>
      </c>
      <c r="J397" s="4">
        <v>1739.14</v>
      </c>
      <c r="K397">
        <f t="shared" si="19"/>
        <v>20</v>
      </c>
      <c r="L397">
        <f t="shared" si="18"/>
        <v>71</v>
      </c>
      <c r="M397" t="str">
        <f t="shared" si="20"/>
        <v>Older Adults</v>
      </c>
    </row>
    <row r="398" spans="1:13" x14ac:dyDescent="0.25">
      <c r="A398" t="s">
        <v>950</v>
      </c>
      <c r="B398" t="s">
        <v>951</v>
      </c>
      <c r="C398" s="6">
        <v>15727</v>
      </c>
      <c r="D398" t="s">
        <v>27</v>
      </c>
      <c r="E398" t="s">
        <v>22</v>
      </c>
      <c r="F398" t="s">
        <v>110</v>
      </c>
      <c r="G398" t="s">
        <v>24</v>
      </c>
      <c r="H398" s="6">
        <v>44827</v>
      </c>
      <c r="I398" s="6">
        <v>44850</v>
      </c>
      <c r="J398" s="4">
        <v>2782.89</v>
      </c>
      <c r="K398">
        <f t="shared" si="19"/>
        <v>23</v>
      </c>
      <c r="L398">
        <f t="shared" si="18"/>
        <v>79</v>
      </c>
      <c r="M398" t="str">
        <f t="shared" si="20"/>
        <v>Older Adults</v>
      </c>
    </row>
    <row r="399" spans="1:13" x14ac:dyDescent="0.25">
      <c r="A399" t="s">
        <v>952</v>
      </c>
      <c r="B399" t="s">
        <v>953</v>
      </c>
      <c r="C399" s="6">
        <v>32747</v>
      </c>
      <c r="D399" t="s">
        <v>11</v>
      </c>
      <c r="E399" t="s">
        <v>127</v>
      </c>
      <c r="F399" t="s">
        <v>114</v>
      </c>
      <c r="G399" t="s">
        <v>24</v>
      </c>
      <c r="H399" s="6">
        <v>44829</v>
      </c>
      <c r="I399" s="6">
        <v>44832</v>
      </c>
      <c r="J399" s="4">
        <v>2946.68</v>
      </c>
      <c r="K399">
        <f t="shared" si="19"/>
        <v>3</v>
      </c>
      <c r="L399">
        <f t="shared" si="18"/>
        <v>33</v>
      </c>
      <c r="M399" t="str">
        <f t="shared" si="20"/>
        <v>Adults</v>
      </c>
    </row>
    <row r="400" spans="1:13" x14ac:dyDescent="0.25">
      <c r="A400" t="s">
        <v>954</v>
      </c>
      <c r="B400" t="s">
        <v>955</v>
      </c>
      <c r="C400" s="6">
        <v>9020</v>
      </c>
      <c r="D400" t="s">
        <v>11</v>
      </c>
      <c r="E400" t="s">
        <v>80</v>
      </c>
      <c r="F400" t="s">
        <v>29</v>
      </c>
      <c r="G400" t="s">
        <v>81</v>
      </c>
      <c r="H400" s="6">
        <v>44829</v>
      </c>
      <c r="I400" s="6">
        <v>44847</v>
      </c>
      <c r="J400" s="4">
        <v>5621.6</v>
      </c>
      <c r="K400">
        <f t="shared" si="19"/>
        <v>18</v>
      </c>
      <c r="L400">
        <f t="shared" si="18"/>
        <v>98</v>
      </c>
      <c r="M400" t="str">
        <f t="shared" si="20"/>
        <v>Older Adults</v>
      </c>
    </row>
    <row r="401" spans="1:13" x14ac:dyDescent="0.25">
      <c r="A401" t="s">
        <v>956</v>
      </c>
      <c r="B401" t="s">
        <v>957</v>
      </c>
      <c r="C401" s="6">
        <v>31193</v>
      </c>
      <c r="D401" t="s">
        <v>27</v>
      </c>
      <c r="E401" t="s">
        <v>38</v>
      </c>
      <c r="F401" t="s">
        <v>13</v>
      </c>
      <c r="G401" t="s">
        <v>40</v>
      </c>
      <c r="H401" s="6">
        <v>44830</v>
      </c>
      <c r="I401" s="6">
        <v>44831</v>
      </c>
      <c r="J401" s="4">
        <v>2975.42</v>
      </c>
      <c r="K401">
        <f t="shared" si="19"/>
        <v>1</v>
      </c>
      <c r="L401">
        <f t="shared" si="18"/>
        <v>37</v>
      </c>
      <c r="M401" t="str">
        <f t="shared" si="20"/>
        <v>Adults</v>
      </c>
    </row>
    <row r="402" spans="1:13" x14ac:dyDescent="0.25">
      <c r="A402" t="s">
        <v>958</v>
      </c>
      <c r="B402" t="s">
        <v>959</v>
      </c>
      <c r="C402" s="6">
        <v>36803</v>
      </c>
      <c r="D402" t="s">
        <v>11</v>
      </c>
      <c r="E402" t="s">
        <v>72</v>
      </c>
      <c r="F402" t="s">
        <v>34</v>
      </c>
      <c r="G402" t="s">
        <v>74</v>
      </c>
      <c r="H402" s="6">
        <v>44832</v>
      </c>
      <c r="I402" s="6">
        <v>44857</v>
      </c>
      <c r="J402" s="4">
        <v>7640.06</v>
      </c>
      <c r="K402">
        <f t="shared" si="19"/>
        <v>25</v>
      </c>
      <c r="L402">
        <f t="shared" si="18"/>
        <v>21</v>
      </c>
      <c r="M402" t="str">
        <f t="shared" si="20"/>
        <v>Young Adults</v>
      </c>
    </row>
    <row r="403" spans="1:13" x14ac:dyDescent="0.25">
      <c r="A403" t="s">
        <v>960</v>
      </c>
      <c r="B403" t="s">
        <v>961</v>
      </c>
      <c r="C403" s="6">
        <v>33032</v>
      </c>
      <c r="D403" t="s">
        <v>27</v>
      </c>
      <c r="E403" t="s">
        <v>281</v>
      </c>
      <c r="F403" t="s">
        <v>188</v>
      </c>
      <c r="G403" t="s">
        <v>616</v>
      </c>
      <c r="H403" s="6">
        <v>44836</v>
      </c>
      <c r="I403" s="6">
        <v>44851</v>
      </c>
      <c r="J403" s="4">
        <v>42814.66</v>
      </c>
      <c r="K403">
        <f t="shared" si="19"/>
        <v>15</v>
      </c>
      <c r="L403">
        <f t="shared" si="18"/>
        <v>32</v>
      </c>
      <c r="M403" t="str">
        <f t="shared" si="20"/>
        <v>Adults</v>
      </c>
    </row>
    <row r="404" spans="1:13" x14ac:dyDescent="0.25">
      <c r="A404" t="s">
        <v>962</v>
      </c>
      <c r="B404" t="s">
        <v>963</v>
      </c>
      <c r="C404" s="6">
        <v>20914</v>
      </c>
      <c r="D404" t="s">
        <v>11</v>
      </c>
      <c r="E404" t="s">
        <v>120</v>
      </c>
      <c r="F404" t="s">
        <v>114</v>
      </c>
      <c r="G404" t="s">
        <v>306</v>
      </c>
      <c r="H404" s="6">
        <v>44837</v>
      </c>
      <c r="I404" s="6">
        <v>44856</v>
      </c>
      <c r="J404" s="4">
        <v>820.09</v>
      </c>
      <c r="K404">
        <f t="shared" si="19"/>
        <v>19</v>
      </c>
      <c r="L404">
        <f t="shared" si="18"/>
        <v>65</v>
      </c>
      <c r="M404" t="str">
        <f t="shared" si="20"/>
        <v>Older Adults</v>
      </c>
    </row>
    <row r="405" spans="1:13" x14ac:dyDescent="0.25">
      <c r="A405" t="s">
        <v>964</v>
      </c>
      <c r="B405" t="s">
        <v>965</v>
      </c>
      <c r="C405" s="6">
        <v>42612</v>
      </c>
      <c r="D405" t="s">
        <v>27</v>
      </c>
      <c r="E405" t="s">
        <v>178</v>
      </c>
      <c r="F405" t="s">
        <v>433</v>
      </c>
      <c r="G405" t="s">
        <v>157</v>
      </c>
      <c r="H405" s="6">
        <v>44838</v>
      </c>
      <c r="I405" s="6">
        <v>44867</v>
      </c>
      <c r="J405" s="4">
        <v>1437.46</v>
      </c>
      <c r="K405">
        <f t="shared" si="19"/>
        <v>29</v>
      </c>
      <c r="L405">
        <f t="shared" si="18"/>
        <v>6</v>
      </c>
      <c r="M405" t="str">
        <f t="shared" si="20"/>
        <v>Children and Adolescent</v>
      </c>
    </row>
    <row r="406" spans="1:13" x14ac:dyDescent="0.25">
      <c r="A406" t="s">
        <v>966</v>
      </c>
      <c r="B406" t="s">
        <v>967</v>
      </c>
      <c r="C406" s="6">
        <v>20053</v>
      </c>
      <c r="D406" t="s">
        <v>11</v>
      </c>
      <c r="E406" t="s">
        <v>51</v>
      </c>
      <c r="F406" t="s">
        <v>13</v>
      </c>
      <c r="G406" t="s">
        <v>662</v>
      </c>
      <c r="H406" s="6">
        <v>44839</v>
      </c>
      <c r="I406" s="6">
        <v>44867</v>
      </c>
      <c r="J406" s="4">
        <v>5523.14</v>
      </c>
      <c r="K406">
        <f t="shared" si="19"/>
        <v>28</v>
      </c>
      <c r="L406">
        <f t="shared" si="18"/>
        <v>67</v>
      </c>
      <c r="M406" t="str">
        <f t="shared" si="20"/>
        <v>Older Adults</v>
      </c>
    </row>
    <row r="407" spans="1:13" x14ac:dyDescent="0.25">
      <c r="A407" t="s">
        <v>968</v>
      </c>
      <c r="B407" t="s">
        <v>969</v>
      </c>
      <c r="C407" s="6">
        <v>20288</v>
      </c>
      <c r="D407" t="s">
        <v>11</v>
      </c>
      <c r="E407" t="s">
        <v>187</v>
      </c>
      <c r="F407" t="s">
        <v>188</v>
      </c>
      <c r="G407" t="s">
        <v>189</v>
      </c>
      <c r="H407" s="6">
        <v>44839</v>
      </c>
      <c r="I407" s="6">
        <v>44864</v>
      </c>
      <c r="J407" s="4">
        <v>7367.51</v>
      </c>
      <c r="K407">
        <f t="shared" si="19"/>
        <v>25</v>
      </c>
      <c r="L407">
        <f t="shared" si="18"/>
        <v>67</v>
      </c>
      <c r="M407" t="str">
        <f t="shared" si="20"/>
        <v>Older Adults</v>
      </c>
    </row>
    <row r="408" spans="1:13" x14ac:dyDescent="0.25">
      <c r="A408" t="s">
        <v>970</v>
      </c>
      <c r="B408" t="s">
        <v>971</v>
      </c>
      <c r="C408" s="6">
        <v>42954</v>
      </c>
      <c r="D408" t="s">
        <v>27</v>
      </c>
      <c r="E408" t="s">
        <v>163</v>
      </c>
      <c r="F408" t="s">
        <v>13</v>
      </c>
      <c r="G408" t="s">
        <v>233</v>
      </c>
      <c r="H408" s="6">
        <v>44840</v>
      </c>
      <c r="I408" s="6">
        <v>44845</v>
      </c>
      <c r="J408" s="4">
        <v>46178.239999999998</v>
      </c>
      <c r="K408">
        <f t="shared" si="19"/>
        <v>5</v>
      </c>
      <c r="L408">
        <f t="shared" si="18"/>
        <v>5</v>
      </c>
      <c r="M408" t="str">
        <f t="shared" si="20"/>
        <v>Children and Adolescent</v>
      </c>
    </row>
    <row r="409" spans="1:13" x14ac:dyDescent="0.25">
      <c r="A409" t="s">
        <v>972</v>
      </c>
      <c r="B409" t="s">
        <v>973</v>
      </c>
      <c r="C409" s="6">
        <v>44531</v>
      </c>
      <c r="D409" t="s">
        <v>27</v>
      </c>
      <c r="E409" t="s">
        <v>60</v>
      </c>
      <c r="F409" t="s">
        <v>61</v>
      </c>
      <c r="G409" t="s">
        <v>149</v>
      </c>
      <c r="H409" s="6">
        <v>44840</v>
      </c>
      <c r="I409" s="6">
        <v>44866</v>
      </c>
      <c r="J409" s="4">
        <v>70410.649999999994</v>
      </c>
      <c r="K409">
        <f t="shared" si="19"/>
        <v>26</v>
      </c>
      <c r="L409">
        <f t="shared" si="18"/>
        <v>0</v>
      </c>
      <c r="M409" t="str">
        <f t="shared" si="20"/>
        <v>Early childhood</v>
      </c>
    </row>
    <row r="410" spans="1:13" x14ac:dyDescent="0.25">
      <c r="A410" t="s">
        <v>974</v>
      </c>
      <c r="B410" t="s">
        <v>975</v>
      </c>
      <c r="C410" s="6">
        <v>38791</v>
      </c>
      <c r="D410" t="s">
        <v>27</v>
      </c>
      <c r="E410" t="s">
        <v>163</v>
      </c>
      <c r="F410" t="s">
        <v>13</v>
      </c>
      <c r="G410" t="s">
        <v>165</v>
      </c>
      <c r="H410" s="6">
        <v>44840</v>
      </c>
      <c r="I410" s="6">
        <v>44867</v>
      </c>
      <c r="J410" s="4">
        <v>47867.26</v>
      </c>
      <c r="K410">
        <f t="shared" si="19"/>
        <v>27</v>
      </c>
      <c r="L410">
        <f t="shared" si="18"/>
        <v>16</v>
      </c>
      <c r="M410" t="str">
        <f t="shared" si="20"/>
        <v>Children and Adolescent</v>
      </c>
    </row>
    <row r="411" spans="1:13" x14ac:dyDescent="0.25">
      <c r="A411" t="s">
        <v>976</v>
      </c>
      <c r="B411" t="s">
        <v>977</v>
      </c>
      <c r="C411" s="6">
        <v>38104</v>
      </c>
      <c r="D411" t="s">
        <v>27</v>
      </c>
      <c r="E411" t="s">
        <v>97</v>
      </c>
      <c r="F411" t="s">
        <v>98</v>
      </c>
      <c r="G411" t="s">
        <v>221</v>
      </c>
      <c r="H411" s="6">
        <v>44840</v>
      </c>
      <c r="I411" s="6">
        <v>44867</v>
      </c>
      <c r="J411" s="4">
        <v>869.65</v>
      </c>
      <c r="K411">
        <f t="shared" si="19"/>
        <v>27</v>
      </c>
      <c r="L411">
        <f t="shared" si="18"/>
        <v>18</v>
      </c>
      <c r="M411" t="str">
        <f t="shared" si="20"/>
        <v>Young Adults</v>
      </c>
    </row>
    <row r="412" spans="1:13" x14ac:dyDescent="0.25">
      <c r="A412" t="s">
        <v>978</v>
      </c>
      <c r="B412" t="s">
        <v>979</v>
      </c>
      <c r="C412" s="6">
        <v>33429</v>
      </c>
      <c r="D412" t="s">
        <v>11</v>
      </c>
      <c r="E412" t="s">
        <v>80</v>
      </c>
      <c r="F412" t="s">
        <v>29</v>
      </c>
      <c r="G412" t="s">
        <v>444</v>
      </c>
      <c r="H412" s="6">
        <v>44842</v>
      </c>
      <c r="I412" s="6">
        <v>44859</v>
      </c>
      <c r="J412" s="4">
        <v>14439.9</v>
      </c>
      <c r="K412">
        <f t="shared" si="19"/>
        <v>17</v>
      </c>
      <c r="L412">
        <f t="shared" si="18"/>
        <v>31</v>
      </c>
      <c r="M412" t="str">
        <f t="shared" si="20"/>
        <v>Adults</v>
      </c>
    </row>
    <row r="413" spans="1:13" x14ac:dyDescent="0.25">
      <c r="A413" t="s">
        <v>980</v>
      </c>
      <c r="B413" t="s">
        <v>981</v>
      </c>
      <c r="C413" s="6">
        <v>32193</v>
      </c>
      <c r="D413" t="s">
        <v>11</v>
      </c>
      <c r="E413" t="s">
        <v>163</v>
      </c>
      <c r="F413" t="s">
        <v>13</v>
      </c>
      <c r="G413" t="s">
        <v>165</v>
      </c>
      <c r="H413" s="6">
        <v>44843</v>
      </c>
      <c r="I413" s="6">
        <v>44848</v>
      </c>
      <c r="J413" s="4">
        <v>36614.949999999997</v>
      </c>
      <c r="K413">
        <f t="shared" si="19"/>
        <v>5</v>
      </c>
      <c r="L413">
        <f t="shared" si="18"/>
        <v>34</v>
      </c>
      <c r="M413" t="str">
        <f t="shared" si="20"/>
        <v>Adults</v>
      </c>
    </row>
    <row r="414" spans="1:13" x14ac:dyDescent="0.25">
      <c r="A414" t="s">
        <v>982</v>
      </c>
      <c r="B414" t="s">
        <v>983</v>
      </c>
      <c r="C414" s="6">
        <v>43681</v>
      </c>
      <c r="D414" t="s">
        <v>27</v>
      </c>
      <c r="E414" t="s">
        <v>120</v>
      </c>
      <c r="F414" t="s">
        <v>114</v>
      </c>
      <c r="G414" t="s">
        <v>121</v>
      </c>
      <c r="H414" s="6">
        <v>44845</v>
      </c>
      <c r="I414" s="6">
        <v>44867</v>
      </c>
      <c r="J414" s="4">
        <v>1675.47</v>
      </c>
      <c r="K414">
        <f t="shared" si="19"/>
        <v>22</v>
      </c>
      <c r="L414">
        <f t="shared" si="18"/>
        <v>3</v>
      </c>
      <c r="M414" t="str">
        <f t="shared" si="20"/>
        <v>Early childhood</v>
      </c>
    </row>
    <row r="415" spans="1:13" x14ac:dyDescent="0.25">
      <c r="A415" s="1" t="s">
        <v>984</v>
      </c>
      <c r="B415" t="s">
        <v>985</v>
      </c>
      <c r="C415" s="6">
        <v>42439</v>
      </c>
      <c r="D415" t="s">
        <v>27</v>
      </c>
      <c r="E415" t="s">
        <v>127</v>
      </c>
      <c r="F415" t="s">
        <v>509</v>
      </c>
      <c r="G415" t="s">
        <v>510</v>
      </c>
      <c r="H415" s="6">
        <v>44845</v>
      </c>
      <c r="I415" s="6">
        <v>44868</v>
      </c>
      <c r="J415" s="4">
        <v>2644.26</v>
      </c>
      <c r="K415">
        <f t="shared" si="19"/>
        <v>23</v>
      </c>
      <c r="L415">
        <f t="shared" si="18"/>
        <v>6</v>
      </c>
      <c r="M415" t="str">
        <f t="shared" si="20"/>
        <v>Children and Adolescent</v>
      </c>
    </row>
    <row r="416" spans="1:13" x14ac:dyDescent="0.25">
      <c r="A416" t="s">
        <v>986</v>
      </c>
      <c r="B416" t="s">
        <v>987</v>
      </c>
      <c r="C416" s="6">
        <v>45445</v>
      </c>
      <c r="D416" t="s">
        <v>11</v>
      </c>
      <c r="E416" t="s">
        <v>22</v>
      </c>
      <c r="F416" t="s">
        <v>23</v>
      </c>
      <c r="G416" t="s">
        <v>111</v>
      </c>
      <c r="H416" s="6">
        <v>44846</v>
      </c>
      <c r="I416" s="6">
        <v>44855</v>
      </c>
      <c r="J416" s="4">
        <v>2821.79</v>
      </c>
      <c r="K416">
        <f t="shared" si="19"/>
        <v>9</v>
      </c>
      <c r="L416" t="str">
        <f t="shared" si="18"/>
        <v>Invalid DOB</v>
      </c>
      <c r="M416" t="str">
        <f t="shared" si="20"/>
        <v>Invalid DOB</v>
      </c>
    </row>
    <row r="417" spans="1:13" x14ac:dyDescent="0.25">
      <c r="A417" t="s">
        <v>988</v>
      </c>
      <c r="B417" t="s">
        <v>989</v>
      </c>
      <c r="C417" s="6">
        <v>18257</v>
      </c>
      <c r="D417" t="s">
        <v>11</v>
      </c>
      <c r="E417" t="s">
        <v>33</v>
      </c>
      <c r="F417" t="s">
        <v>13</v>
      </c>
      <c r="G417" t="s">
        <v>478</v>
      </c>
      <c r="H417" s="6">
        <v>44846</v>
      </c>
      <c r="I417" s="6">
        <v>44855</v>
      </c>
      <c r="J417" s="4">
        <v>4043.93</v>
      </c>
      <c r="K417">
        <f t="shared" si="19"/>
        <v>9</v>
      </c>
      <c r="L417">
        <f t="shared" si="18"/>
        <v>72</v>
      </c>
      <c r="M417" t="str">
        <f t="shared" si="20"/>
        <v>Older Adults</v>
      </c>
    </row>
    <row r="418" spans="1:13" x14ac:dyDescent="0.25">
      <c r="A418" t="s">
        <v>990</v>
      </c>
      <c r="B418" t="s">
        <v>991</v>
      </c>
      <c r="C418" s="6">
        <v>44056</v>
      </c>
      <c r="D418" t="s">
        <v>27</v>
      </c>
      <c r="E418" t="s">
        <v>163</v>
      </c>
      <c r="F418" t="s">
        <v>164</v>
      </c>
      <c r="G418" t="s">
        <v>233</v>
      </c>
      <c r="H418" s="6">
        <v>44846</v>
      </c>
      <c r="I418" s="6">
        <v>44860</v>
      </c>
      <c r="J418" s="4">
        <v>36044.839999999997</v>
      </c>
      <c r="K418">
        <f t="shared" si="19"/>
        <v>14</v>
      </c>
      <c r="L418">
        <f t="shared" si="18"/>
        <v>2</v>
      </c>
      <c r="M418" t="str">
        <f t="shared" si="20"/>
        <v>Early childhood</v>
      </c>
    </row>
    <row r="419" spans="1:13" x14ac:dyDescent="0.25">
      <c r="A419" t="s">
        <v>992</v>
      </c>
      <c r="B419" t="s">
        <v>993</v>
      </c>
      <c r="C419" s="6">
        <v>15904</v>
      </c>
      <c r="D419" t="s">
        <v>11</v>
      </c>
      <c r="E419" t="s">
        <v>127</v>
      </c>
      <c r="F419" t="s">
        <v>994</v>
      </c>
      <c r="G419" t="s">
        <v>157</v>
      </c>
      <c r="H419" s="6">
        <v>44848</v>
      </c>
      <c r="I419" s="6">
        <v>44872</v>
      </c>
      <c r="J419" s="4">
        <v>2402.36</v>
      </c>
      <c r="K419">
        <f t="shared" si="19"/>
        <v>24</v>
      </c>
      <c r="L419">
        <f t="shared" si="18"/>
        <v>79</v>
      </c>
      <c r="M419" t="str">
        <f t="shared" si="20"/>
        <v>Older Adults</v>
      </c>
    </row>
    <row r="420" spans="1:13" x14ac:dyDescent="0.25">
      <c r="A420" t="s">
        <v>995</v>
      </c>
      <c r="B420" t="s">
        <v>996</v>
      </c>
      <c r="C420" s="6">
        <v>42535</v>
      </c>
      <c r="D420" t="s">
        <v>11</v>
      </c>
      <c r="E420" t="s">
        <v>12</v>
      </c>
      <c r="F420" t="s">
        <v>13</v>
      </c>
      <c r="G420" t="s">
        <v>14</v>
      </c>
      <c r="H420" s="6">
        <v>44849</v>
      </c>
      <c r="I420" s="6">
        <v>44879</v>
      </c>
      <c r="J420" s="4">
        <v>17063.689999999999</v>
      </c>
      <c r="K420">
        <f t="shared" si="19"/>
        <v>30</v>
      </c>
      <c r="L420">
        <f t="shared" si="18"/>
        <v>6</v>
      </c>
      <c r="M420" t="str">
        <f t="shared" si="20"/>
        <v>Children and Adolescent</v>
      </c>
    </row>
    <row r="421" spans="1:13" x14ac:dyDescent="0.25">
      <c r="A421" t="s">
        <v>997</v>
      </c>
      <c r="B421" t="s">
        <v>998</v>
      </c>
      <c r="C421" s="6">
        <v>10483</v>
      </c>
      <c r="D421" t="s">
        <v>27</v>
      </c>
      <c r="E421" t="s">
        <v>127</v>
      </c>
      <c r="F421" t="s">
        <v>994</v>
      </c>
      <c r="G421" t="s">
        <v>157</v>
      </c>
      <c r="H421" s="6">
        <v>44851</v>
      </c>
      <c r="I421" s="6">
        <v>44864</v>
      </c>
      <c r="J421" s="4">
        <v>984.19</v>
      </c>
      <c r="K421">
        <f t="shared" si="19"/>
        <v>13</v>
      </c>
      <c r="L421">
        <f t="shared" si="18"/>
        <v>94</v>
      </c>
      <c r="M421" t="str">
        <f t="shared" si="20"/>
        <v>Older Adults</v>
      </c>
    </row>
    <row r="422" spans="1:13" x14ac:dyDescent="0.25">
      <c r="A422" t="s">
        <v>999</v>
      </c>
      <c r="B422" t="s">
        <v>1000</v>
      </c>
      <c r="C422" s="6">
        <v>36093</v>
      </c>
      <c r="D422" t="s">
        <v>27</v>
      </c>
      <c r="E422" t="s">
        <v>17</v>
      </c>
      <c r="F422" t="s">
        <v>18</v>
      </c>
      <c r="G422" t="s">
        <v>135</v>
      </c>
      <c r="H422" s="6">
        <v>44851</v>
      </c>
      <c r="I422" s="6">
        <v>44874</v>
      </c>
      <c r="J422" s="4">
        <v>537.79</v>
      </c>
      <c r="K422">
        <f t="shared" si="19"/>
        <v>23</v>
      </c>
      <c r="L422">
        <f t="shared" si="18"/>
        <v>23</v>
      </c>
      <c r="M422" t="str">
        <f t="shared" si="20"/>
        <v>Young Adults</v>
      </c>
    </row>
    <row r="423" spans="1:13" x14ac:dyDescent="0.25">
      <c r="A423" t="s">
        <v>1001</v>
      </c>
      <c r="B423" t="s">
        <v>1002</v>
      </c>
      <c r="C423" s="6">
        <v>27499</v>
      </c>
      <c r="D423" t="s">
        <v>11</v>
      </c>
      <c r="E423" t="s">
        <v>127</v>
      </c>
      <c r="F423" t="s">
        <v>994</v>
      </c>
      <c r="G423" t="s">
        <v>157</v>
      </c>
      <c r="H423" s="6">
        <v>44852</v>
      </c>
      <c r="I423" s="6">
        <v>44872</v>
      </c>
      <c r="J423" s="4">
        <v>2322.63</v>
      </c>
      <c r="K423">
        <f t="shared" si="19"/>
        <v>20</v>
      </c>
      <c r="L423">
        <f t="shared" si="18"/>
        <v>47</v>
      </c>
      <c r="M423" t="str">
        <f t="shared" si="20"/>
        <v>Adults</v>
      </c>
    </row>
    <row r="424" spans="1:13" x14ac:dyDescent="0.25">
      <c r="A424" t="s">
        <v>1003</v>
      </c>
      <c r="B424" t="s">
        <v>1004</v>
      </c>
      <c r="C424" s="6">
        <v>10901</v>
      </c>
      <c r="D424" t="s">
        <v>27</v>
      </c>
      <c r="E424" t="s">
        <v>28</v>
      </c>
      <c r="F424" t="s">
        <v>29</v>
      </c>
      <c r="G424" t="s">
        <v>30</v>
      </c>
      <c r="H424" s="6">
        <v>44853</v>
      </c>
      <c r="I424" s="6">
        <v>44858</v>
      </c>
      <c r="J424" s="4">
        <v>20281.650000000001</v>
      </c>
      <c r="K424">
        <f t="shared" si="19"/>
        <v>5</v>
      </c>
      <c r="L424">
        <f t="shared" si="18"/>
        <v>92</v>
      </c>
      <c r="M424" t="str">
        <f t="shared" si="20"/>
        <v>Older Adults</v>
      </c>
    </row>
    <row r="425" spans="1:13" x14ac:dyDescent="0.25">
      <c r="A425" t="s">
        <v>1005</v>
      </c>
      <c r="B425" t="s">
        <v>1006</v>
      </c>
      <c r="C425" s="6">
        <v>44457</v>
      </c>
      <c r="D425" t="s">
        <v>27</v>
      </c>
      <c r="E425" t="s">
        <v>65</v>
      </c>
      <c r="F425" t="s">
        <v>23</v>
      </c>
      <c r="G425" t="s">
        <v>519</v>
      </c>
      <c r="H425" s="6">
        <v>44853</v>
      </c>
      <c r="I425" s="6">
        <v>44857</v>
      </c>
      <c r="J425" s="4">
        <v>357.92</v>
      </c>
      <c r="K425">
        <f t="shared" si="19"/>
        <v>4</v>
      </c>
      <c r="L425">
        <f t="shared" si="18"/>
        <v>1</v>
      </c>
      <c r="M425" t="str">
        <f t="shared" si="20"/>
        <v>Early childhood</v>
      </c>
    </row>
    <row r="426" spans="1:13" x14ac:dyDescent="0.25">
      <c r="A426" t="s">
        <v>1007</v>
      </c>
      <c r="B426" t="s">
        <v>1008</v>
      </c>
      <c r="C426" s="6">
        <v>35439</v>
      </c>
      <c r="D426" t="s">
        <v>27</v>
      </c>
      <c r="E426" t="s">
        <v>163</v>
      </c>
      <c r="F426" t="s">
        <v>13</v>
      </c>
      <c r="G426" t="s">
        <v>165</v>
      </c>
      <c r="H426" s="6">
        <v>44853</v>
      </c>
      <c r="I426" s="6">
        <v>44876</v>
      </c>
      <c r="J426" s="4">
        <v>12132.16</v>
      </c>
      <c r="K426">
        <f t="shared" si="19"/>
        <v>23</v>
      </c>
      <c r="L426">
        <f t="shared" si="18"/>
        <v>25</v>
      </c>
      <c r="M426" t="str">
        <f t="shared" si="20"/>
        <v>Adults</v>
      </c>
    </row>
    <row r="427" spans="1:13" x14ac:dyDescent="0.25">
      <c r="A427" t="s">
        <v>1009</v>
      </c>
      <c r="B427" t="s">
        <v>1010</v>
      </c>
      <c r="C427" s="6">
        <v>20483</v>
      </c>
      <c r="D427" t="s">
        <v>27</v>
      </c>
      <c r="E427" t="s">
        <v>271</v>
      </c>
      <c r="F427" t="s">
        <v>272</v>
      </c>
      <c r="G427" t="s">
        <v>313</v>
      </c>
      <c r="H427" s="6">
        <v>44855</v>
      </c>
      <c r="I427" s="6">
        <v>44885</v>
      </c>
      <c r="J427" s="4">
        <v>522.17999999999995</v>
      </c>
      <c r="K427">
        <f t="shared" si="19"/>
        <v>30</v>
      </c>
      <c r="L427">
        <f t="shared" si="18"/>
        <v>66</v>
      </c>
      <c r="M427" t="str">
        <f t="shared" si="20"/>
        <v>Older Adults</v>
      </c>
    </row>
    <row r="428" spans="1:13" x14ac:dyDescent="0.25">
      <c r="A428" t="s">
        <v>1011</v>
      </c>
      <c r="B428" t="s">
        <v>1012</v>
      </c>
      <c r="C428" s="6">
        <v>13921</v>
      </c>
      <c r="D428" t="s">
        <v>11</v>
      </c>
      <c r="E428" t="s">
        <v>84</v>
      </c>
      <c r="F428" t="s">
        <v>85</v>
      </c>
      <c r="G428" t="s">
        <v>254</v>
      </c>
      <c r="H428" s="6">
        <v>44857</v>
      </c>
      <c r="I428" s="6">
        <v>44871</v>
      </c>
      <c r="J428" s="4">
        <v>1163.02</v>
      </c>
      <c r="K428">
        <f t="shared" si="19"/>
        <v>14</v>
      </c>
      <c r="L428">
        <f t="shared" si="18"/>
        <v>84</v>
      </c>
      <c r="M428" t="str">
        <f t="shared" si="20"/>
        <v>Older Adults</v>
      </c>
    </row>
    <row r="429" spans="1:13" x14ac:dyDescent="0.25">
      <c r="A429" t="s">
        <v>1013</v>
      </c>
      <c r="B429" t="s">
        <v>1014</v>
      </c>
      <c r="C429" s="6">
        <v>25049</v>
      </c>
      <c r="D429" t="s">
        <v>27</v>
      </c>
      <c r="E429" t="s">
        <v>84</v>
      </c>
      <c r="F429" t="s">
        <v>85</v>
      </c>
      <c r="G429" t="s">
        <v>238</v>
      </c>
      <c r="H429" s="6">
        <v>44857</v>
      </c>
      <c r="I429" s="6">
        <v>44868</v>
      </c>
      <c r="J429" s="4">
        <v>3035.9</v>
      </c>
      <c r="K429">
        <f t="shared" si="19"/>
        <v>11</v>
      </c>
      <c r="L429">
        <f t="shared" si="18"/>
        <v>54</v>
      </c>
      <c r="M429" t="str">
        <f t="shared" si="20"/>
        <v>Adults</v>
      </c>
    </row>
    <row r="430" spans="1:13" x14ac:dyDescent="0.25">
      <c r="A430" t="s">
        <v>1015</v>
      </c>
      <c r="B430" t="s">
        <v>1016</v>
      </c>
      <c r="C430" s="6">
        <v>25377</v>
      </c>
      <c r="D430" t="s">
        <v>11</v>
      </c>
      <c r="E430" t="s">
        <v>187</v>
      </c>
      <c r="F430" t="s">
        <v>13</v>
      </c>
      <c r="G430" t="s">
        <v>192</v>
      </c>
      <c r="H430" s="6">
        <v>44858</v>
      </c>
      <c r="I430" s="6">
        <v>44878</v>
      </c>
      <c r="J430" s="4">
        <v>4943.25</v>
      </c>
      <c r="K430">
        <f t="shared" si="19"/>
        <v>20</v>
      </c>
      <c r="L430">
        <f t="shared" si="18"/>
        <v>53</v>
      </c>
      <c r="M430" t="str">
        <f t="shared" si="20"/>
        <v>Adults</v>
      </c>
    </row>
    <row r="431" spans="1:13" x14ac:dyDescent="0.25">
      <c r="A431" t="s">
        <v>1017</v>
      </c>
      <c r="B431" t="s">
        <v>1018</v>
      </c>
      <c r="C431" s="6">
        <v>30869</v>
      </c>
      <c r="D431" t="s">
        <v>11</v>
      </c>
      <c r="E431" t="s">
        <v>187</v>
      </c>
      <c r="F431" t="s">
        <v>13</v>
      </c>
      <c r="G431" t="s">
        <v>353</v>
      </c>
      <c r="H431" s="6">
        <v>44858</v>
      </c>
      <c r="I431" s="6">
        <v>44888</v>
      </c>
      <c r="J431" s="4">
        <v>7955.88</v>
      </c>
      <c r="K431">
        <f t="shared" si="19"/>
        <v>30</v>
      </c>
      <c r="L431">
        <f t="shared" si="18"/>
        <v>38</v>
      </c>
      <c r="M431" t="str">
        <f t="shared" si="20"/>
        <v>Adults</v>
      </c>
    </row>
    <row r="432" spans="1:13" x14ac:dyDescent="0.25">
      <c r="A432" t="s">
        <v>1019</v>
      </c>
      <c r="B432" t="s">
        <v>1020</v>
      </c>
      <c r="C432" s="6">
        <v>14973</v>
      </c>
      <c r="D432" t="s">
        <v>27</v>
      </c>
      <c r="E432" t="s">
        <v>97</v>
      </c>
      <c r="F432" t="s">
        <v>98</v>
      </c>
      <c r="G432" t="s">
        <v>99</v>
      </c>
      <c r="H432" s="6">
        <v>44859</v>
      </c>
      <c r="I432" s="6">
        <v>44883</v>
      </c>
      <c r="J432" s="4">
        <v>824.19</v>
      </c>
      <c r="K432">
        <f t="shared" si="19"/>
        <v>24</v>
      </c>
      <c r="L432">
        <f t="shared" si="18"/>
        <v>81</v>
      </c>
      <c r="M432" t="str">
        <f t="shared" si="20"/>
        <v>Older Adults</v>
      </c>
    </row>
    <row r="433" spans="1:13" x14ac:dyDescent="0.25">
      <c r="A433" t="s">
        <v>1021</v>
      </c>
      <c r="B433" t="s">
        <v>1022</v>
      </c>
      <c r="C433" s="6">
        <v>23004</v>
      </c>
      <c r="D433" t="s">
        <v>11</v>
      </c>
      <c r="E433" t="s">
        <v>127</v>
      </c>
      <c r="F433" t="s">
        <v>114</v>
      </c>
      <c r="G433" t="s">
        <v>157</v>
      </c>
      <c r="H433" s="6">
        <v>44863</v>
      </c>
      <c r="I433" s="6">
        <v>44891</v>
      </c>
      <c r="J433" s="4">
        <v>1012.58</v>
      </c>
      <c r="K433">
        <f t="shared" si="19"/>
        <v>28</v>
      </c>
      <c r="L433">
        <f t="shared" si="18"/>
        <v>59</v>
      </c>
      <c r="M433" t="str">
        <f t="shared" si="20"/>
        <v>Adults</v>
      </c>
    </row>
    <row r="434" spans="1:13" x14ac:dyDescent="0.25">
      <c r="A434" t="s">
        <v>1023</v>
      </c>
      <c r="B434" t="s">
        <v>1024</v>
      </c>
      <c r="C434" s="6">
        <v>41307</v>
      </c>
      <c r="D434" t="s">
        <v>11</v>
      </c>
      <c r="E434" t="s">
        <v>152</v>
      </c>
      <c r="F434" t="s">
        <v>13</v>
      </c>
      <c r="G434" t="s">
        <v>153</v>
      </c>
      <c r="H434" s="6">
        <v>44864</v>
      </c>
      <c r="I434" s="6">
        <v>44887</v>
      </c>
      <c r="J434" s="4">
        <v>13686.26</v>
      </c>
      <c r="K434">
        <f t="shared" si="19"/>
        <v>23</v>
      </c>
      <c r="L434">
        <f t="shared" si="18"/>
        <v>9</v>
      </c>
      <c r="M434" t="str">
        <f t="shared" si="20"/>
        <v>Children and Adolescent</v>
      </c>
    </row>
    <row r="435" spans="1:13" x14ac:dyDescent="0.25">
      <c r="A435" t="s">
        <v>1025</v>
      </c>
      <c r="B435" t="s">
        <v>1026</v>
      </c>
      <c r="C435" s="6">
        <v>13484</v>
      </c>
      <c r="D435" t="s">
        <v>11</v>
      </c>
      <c r="E435" t="s">
        <v>187</v>
      </c>
      <c r="F435" t="s">
        <v>188</v>
      </c>
      <c r="G435" t="s">
        <v>353</v>
      </c>
      <c r="H435" s="6">
        <v>44865</v>
      </c>
      <c r="I435" s="6">
        <v>44886</v>
      </c>
      <c r="J435" s="4">
        <v>10106.370000000001</v>
      </c>
      <c r="K435">
        <f t="shared" si="19"/>
        <v>21</v>
      </c>
      <c r="L435">
        <f t="shared" si="18"/>
        <v>85</v>
      </c>
      <c r="M435" t="str">
        <f t="shared" si="20"/>
        <v>Older Adults</v>
      </c>
    </row>
    <row r="436" spans="1:13" x14ac:dyDescent="0.25">
      <c r="A436" t="s">
        <v>1027</v>
      </c>
      <c r="B436" t="s">
        <v>1028</v>
      </c>
      <c r="C436" s="6">
        <v>18575</v>
      </c>
      <c r="D436" t="s">
        <v>11</v>
      </c>
      <c r="E436" t="s">
        <v>55</v>
      </c>
      <c r="F436" t="s">
        <v>217</v>
      </c>
      <c r="G436" t="s">
        <v>218</v>
      </c>
      <c r="H436" s="6">
        <v>44868</v>
      </c>
      <c r="I436" s="6">
        <v>44880</v>
      </c>
      <c r="J436" s="4">
        <v>4577.24</v>
      </c>
      <c r="K436">
        <f t="shared" si="19"/>
        <v>12</v>
      </c>
      <c r="L436">
        <f t="shared" si="18"/>
        <v>71</v>
      </c>
      <c r="M436" t="str">
        <f t="shared" si="20"/>
        <v>Older Adults</v>
      </c>
    </row>
    <row r="437" spans="1:13" x14ac:dyDescent="0.25">
      <c r="A437" t="s">
        <v>1029</v>
      </c>
      <c r="B437" t="s">
        <v>1030</v>
      </c>
      <c r="C437" s="6">
        <v>29525</v>
      </c>
      <c r="D437" t="s">
        <v>11</v>
      </c>
      <c r="E437" t="s">
        <v>60</v>
      </c>
      <c r="F437" t="s">
        <v>188</v>
      </c>
      <c r="G437" t="s">
        <v>62</v>
      </c>
      <c r="H437" s="6">
        <v>44868</v>
      </c>
      <c r="I437" s="6">
        <v>44879</v>
      </c>
      <c r="J437" s="4">
        <v>91683.71</v>
      </c>
      <c r="K437">
        <f t="shared" si="19"/>
        <v>11</v>
      </c>
      <c r="L437">
        <f t="shared" si="18"/>
        <v>42</v>
      </c>
      <c r="M437" t="str">
        <f t="shared" si="20"/>
        <v>Adults</v>
      </c>
    </row>
    <row r="438" spans="1:13" x14ac:dyDescent="0.25">
      <c r="A438" t="s">
        <v>1031</v>
      </c>
      <c r="B438" t="s">
        <v>1032</v>
      </c>
      <c r="C438" s="6">
        <v>31181</v>
      </c>
      <c r="D438" t="s">
        <v>27</v>
      </c>
      <c r="E438" t="s">
        <v>55</v>
      </c>
      <c r="F438" t="s">
        <v>217</v>
      </c>
      <c r="G438" t="s">
        <v>228</v>
      </c>
      <c r="H438" s="6">
        <v>44868</v>
      </c>
      <c r="I438" s="6">
        <v>44875</v>
      </c>
      <c r="J438" s="4">
        <v>4352.93</v>
      </c>
      <c r="K438">
        <f t="shared" si="19"/>
        <v>7</v>
      </c>
      <c r="L438">
        <f t="shared" si="18"/>
        <v>37</v>
      </c>
      <c r="M438" t="str">
        <f t="shared" si="20"/>
        <v>Adults</v>
      </c>
    </row>
    <row r="439" spans="1:13" x14ac:dyDescent="0.25">
      <c r="A439" t="s">
        <v>1033</v>
      </c>
      <c r="B439" t="s">
        <v>1034</v>
      </c>
      <c r="C439" s="6">
        <v>10400</v>
      </c>
      <c r="D439" t="s">
        <v>27</v>
      </c>
      <c r="E439" t="s">
        <v>302</v>
      </c>
      <c r="F439" t="s">
        <v>13</v>
      </c>
      <c r="G439" t="s">
        <v>303</v>
      </c>
      <c r="H439" s="6">
        <v>44869</v>
      </c>
      <c r="I439" s="6">
        <v>44888</v>
      </c>
      <c r="J439" s="4">
        <v>7615.89</v>
      </c>
      <c r="K439">
        <f t="shared" si="19"/>
        <v>19</v>
      </c>
      <c r="L439">
        <f t="shared" si="18"/>
        <v>94</v>
      </c>
      <c r="M439" t="str">
        <f t="shared" si="20"/>
        <v>Older Adults</v>
      </c>
    </row>
    <row r="440" spans="1:13" x14ac:dyDescent="0.25">
      <c r="A440" t="s">
        <v>1035</v>
      </c>
      <c r="B440" t="s">
        <v>1036</v>
      </c>
      <c r="C440" s="6">
        <v>26641</v>
      </c>
      <c r="D440" t="s">
        <v>27</v>
      </c>
      <c r="E440" t="s">
        <v>302</v>
      </c>
      <c r="F440" t="s">
        <v>29</v>
      </c>
      <c r="G440" t="s">
        <v>399</v>
      </c>
      <c r="H440" s="6">
        <v>44874</v>
      </c>
      <c r="I440" s="6">
        <v>44878</v>
      </c>
      <c r="J440" s="4">
        <v>5372.51</v>
      </c>
      <c r="K440">
        <f t="shared" si="19"/>
        <v>4</v>
      </c>
      <c r="L440">
        <f t="shared" si="18"/>
        <v>49</v>
      </c>
      <c r="M440" t="str">
        <f t="shared" si="20"/>
        <v>Adults</v>
      </c>
    </row>
    <row r="441" spans="1:13" x14ac:dyDescent="0.25">
      <c r="A441" t="s">
        <v>1037</v>
      </c>
      <c r="B441" t="s">
        <v>1038</v>
      </c>
      <c r="C441" s="6">
        <v>38104</v>
      </c>
      <c r="D441" t="s">
        <v>11</v>
      </c>
      <c r="E441" t="s">
        <v>102</v>
      </c>
      <c r="F441" t="s">
        <v>103</v>
      </c>
      <c r="G441" t="s">
        <v>104</v>
      </c>
      <c r="H441" s="6">
        <v>44874</v>
      </c>
      <c r="I441" s="6">
        <v>44885</v>
      </c>
      <c r="J441" s="4">
        <v>6224.7</v>
      </c>
      <c r="K441">
        <f t="shared" si="19"/>
        <v>11</v>
      </c>
      <c r="L441">
        <f t="shared" si="18"/>
        <v>18</v>
      </c>
      <c r="M441" t="str">
        <f t="shared" si="20"/>
        <v>Young Adults</v>
      </c>
    </row>
    <row r="442" spans="1:13" x14ac:dyDescent="0.25">
      <c r="A442" t="s">
        <v>1039</v>
      </c>
      <c r="B442" t="s">
        <v>1040</v>
      </c>
      <c r="C442" s="6">
        <v>11615</v>
      </c>
      <c r="D442" t="s">
        <v>27</v>
      </c>
      <c r="E442" t="s">
        <v>33</v>
      </c>
      <c r="F442" t="s">
        <v>34</v>
      </c>
      <c r="G442" t="s">
        <v>378</v>
      </c>
      <c r="H442" s="6">
        <v>44876</v>
      </c>
      <c r="I442" s="6">
        <v>44893</v>
      </c>
      <c r="J442" s="4">
        <v>4122.78</v>
      </c>
      <c r="K442">
        <f t="shared" si="19"/>
        <v>17</v>
      </c>
      <c r="L442">
        <f t="shared" si="18"/>
        <v>91</v>
      </c>
      <c r="M442" t="str">
        <f t="shared" si="20"/>
        <v>Older Adults</v>
      </c>
    </row>
    <row r="443" spans="1:13" x14ac:dyDescent="0.25">
      <c r="A443" t="s">
        <v>1041</v>
      </c>
      <c r="B443" t="s">
        <v>106</v>
      </c>
      <c r="C443" s="6">
        <v>27363</v>
      </c>
      <c r="D443" t="s">
        <v>27</v>
      </c>
      <c r="E443" t="s">
        <v>163</v>
      </c>
      <c r="F443" t="s">
        <v>13</v>
      </c>
      <c r="G443" t="s">
        <v>165</v>
      </c>
      <c r="H443" s="6">
        <v>44877</v>
      </c>
      <c r="I443" s="6">
        <v>44897</v>
      </c>
      <c r="J443" s="4">
        <v>42477.78</v>
      </c>
      <c r="K443">
        <f t="shared" si="19"/>
        <v>20</v>
      </c>
      <c r="L443">
        <f t="shared" si="18"/>
        <v>47</v>
      </c>
      <c r="M443" t="str">
        <f t="shared" si="20"/>
        <v>Adults</v>
      </c>
    </row>
    <row r="444" spans="1:13" x14ac:dyDescent="0.25">
      <c r="A444" t="s">
        <v>1042</v>
      </c>
      <c r="B444" t="s">
        <v>1043</v>
      </c>
      <c r="C444" s="6">
        <v>36005</v>
      </c>
      <c r="D444" t="s">
        <v>11</v>
      </c>
      <c r="E444" t="s">
        <v>120</v>
      </c>
      <c r="F444" t="s">
        <v>114</v>
      </c>
      <c r="G444" t="s">
        <v>121</v>
      </c>
      <c r="H444" s="6">
        <v>44877</v>
      </c>
      <c r="I444" s="6">
        <v>44894</v>
      </c>
      <c r="J444" s="4">
        <v>2871.05</v>
      </c>
      <c r="K444">
        <f t="shared" si="19"/>
        <v>17</v>
      </c>
      <c r="L444">
        <f t="shared" si="18"/>
        <v>24</v>
      </c>
      <c r="M444" t="str">
        <f t="shared" si="20"/>
        <v>Young Adults</v>
      </c>
    </row>
    <row r="445" spans="1:13" x14ac:dyDescent="0.25">
      <c r="A445" t="s">
        <v>1044</v>
      </c>
      <c r="B445" t="s">
        <v>1045</v>
      </c>
      <c r="C445" s="6">
        <v>34847</v>
      </c>
      <c r="D445" t="s">
        <v>11</v>
      </c>
      <c r="E445" t="s">
        <v>92</v>
      </c>
      <c r="F445" t="s">
        <v>13</v>
      </c>
      <c r="G445" t="s">
        <v>296</v>
      </c>
      <c r="H445" s="6">
        <v>44878</v>
      </c>
      <c r="I445" s="6">
        <v>44882</v>
      </c>
      <c r="J445" s="4">
        <v>2649.62</v>
      </c>
      <c r="K445">
        <f t="shared" si="19"/>
        <v>4</v>
      </c>
      <c r="L445">
        <f t="shared" si="18"/>
        <v>27</v>
      </c>
      <c r="M445" t="str">
        <f t="shared" si="20"/>
        <v>Adults</v>
      </c>
    </row>
    <row r="446" spans="1:13" x14ac:dyDescent="0.25">
      <c r="A446" t="s">
        <v>1046</v>
      </c>
      <c r="B446" t="s">
        <v>1047</v>
      </c>
      <c r="C446" s="6">
        <v>10056</v>
      </c>
      <c r="D446" t="s">
        <v>27</v>
      </c>
      <c r="E446" t="s">
        <v>28</v>
      </c>
      <c r="F446" t="s">
        <v>43</v>
      </c>
      <c r="G446" t="s">
        <v>44</v>
      </c>
      <c r="H446" s="6">
        <v>44881</v>
      </c>
      <c r="I446" s="6">
        <v>44896</v>
      </c>
      <c r="J446" s="4">
        <v>26937.94</v>
      </c>
      <c r="K446">
        <f t="shared" si="19"/>
        <v>15</v>
      </c>
      <c r="L446">
        <f t="shared" si="18"/>
        <v>95</v>
      </c>
      <c r="M446" t="str">
        <f t="shared" si="20"/>
        <v>Older Adults</v>
      </c>
    </row>
    <row r="447" spans="1:13" x14ac:dyDescent="0.25">
      <c r="A447" t="s">
        <v>1048</v>
      </c>
      <c r="B447" t="s">
        <v>1049</v>
      </c>
      <c r="C447" s="6">
        <v>20792</v>
      </c>
      <c r="D447" t="s">
        <v>27</v>
      </c>
      <c r="E447" t="s">
        <v>51</v>
      </c>
      <c r="F447" t="s">
        <v>29</v>
      </c>
      <c r="G447" t="s">
        <v>662</v>
      </c>
      <c r="H447" s="6">
        <v>44881</v>
      </c>
      <c r="I447" s="6">
        <v>44910</v>
      </c>
      <c r="J447" s="4">
        <v>6981.78</v>
      </c>
      <c r="K447">
        <f t="shared" si="19"/>
        <v>29</v>
      </c>
      <c r="L447">
        <f t="shared" si="18"/>
        <v>65</v>
      </c>
      <c r="M447" t="str">
        <f t="shared" si="20"/>
        <v>Older Adults</v>
      </c>
    </row>
    <row r="448" spans="1:13" x14ac:dyDescent="0.25">
      <c r="A448" t="s">
        <v>1050</v>
      </c>
      <c r="B448" t="s">
        <v>1051</v>
      </c>
      <c r="C448" s="6">
        <v>29370</v>
      </c>
      <c r="D448" t="s">
        <v>27</v>
      </c>
      <c r="E448" t="s">
        <v>281</v>
      </c>
      <c r="F448" t="s">
        <v>13</v>
      </c>
      <c r="G448" t="s">
        <v>616</v>
      </c>
      <c r="H448" s="6">
        <v>44881</v>
      </c>
      <c r="I448" s="6">
        <v>44897</v>
      </c>
      <c r="J448" s="4">
        <v>33776.47</v>
      </c>
      <c r="K448">
        <f t="shared" si="19"/>
        <v>16</v>
      </c>
      <c r="L448">
        <f t="shared" si="18"/>
        <v>42</v>
      </c>
      <c r="M448" t="str">
        <f t="shared" si="20"/>
        <v>Adults</v>
      </c>
    </row>
    <row r="449" spans="1:13" x14ac:dyDescent="0.25">
      <c r="A449" t="s">
        <v>1052</v>
      </c>
      <c r="B449" t="s">
        <v>1053</v>
      </c>
      <c r="C449" s="6">
        <v>41207</v>
      </c>
      <c r="D449" t="s">
        <v>11</v>
      </c>
      <c r="E449" t="s">
        <v>65</v>
      </c>
      <c r="F449" t="s">
        <v>518</v>
      </c>
      <c r="G449" t="s">
        <v>66</v>
      </c>
      <c r="H449" s="6">
        <v>44882</v>
      </c>
      <c r="I449" s="6">
        <v>44904</v>
      </c>
      <c r="J449" s="4">
        <v>224.97</v>
      </c>
      <c r="K449">
        <f t="shared" si="19"/>
        <v>22</v>
      </c>
      <c r="L449">
        <f t="shared" si="18"/>
        <v>10</v>
      </c>
      <c r="M449" t="str">
        <f t="shared" si="20"/>
        <v>Children and Adolescent</v>
      </c>
    </row>
    <row r="450" spans="1:13" x14ac:dyDescent="0.25">
      <c r="A450" t="s">
        <v>1054</v>
      </c>
      <c r="B450" t="s">
        <v>1055</v>
      </c>
      <c r="C450" s="6">
        <v>16803</v>
      </c>
      <c r="D450" t="s">
        <v>27</v>
      </c>
      <c r="E450" t="s">
        <v>12</v>
      </c>
      <c r="F450" t="s">
        <v>172</v>
      </c>
      <c r="G450" t="s">
        <v>173</v>
      </c>
      <c r="H450" s="6">
        <v>44883</v>
      </c>
      <c r="I450" s="6">
        <v>44898</v>
      </c>
      <c r="J450" s="4">
        <v>19410.080000000002</v>
      </c>
      <c r="K450">
        <f t="shared" si="19"/>
        <v>15</v>
      </c>
      <c r="L450">
        <f t="shared" ref="L450:L513" si="21">IF(C450&gt;H450,"Invalid DOB",DATEDIF(C450,H450,"Y"))</f>
        <v>76</v>
      </c>
      <c r="M450" t="str">
        <f t="shared" si="20"/>
        <v>Older Adults</v>
      </c>
    </row>
    <row r="451" spans="1:13" x14ac:dyDescent="0.25">
      <c r="A451" t="s">
        <v>1056</v>
      </c>
      <c r="B451" t="s">
        <v>1057</v>
      </c>
      <c r="C451" s="6">
        <v>30650</v>
      </c>
      <c r="D451" t="s">
        <v>11</v>
      </c>
      <c r="E451" t="s">
        <v>80</v>
      </c>
      <c r="F451" t="s">
        <v>29</v>
      </c>
      <c r="G451" t="s">
        <v>578</v>
      </c>
      <c r="H451" s="6">
        <v>44886</v>
      </c>
      <c r="I451" s="6">
        <v>44901</v>
      </c>
      <c r="J451" s="4">
        <v>7134.35</v>
      </c>
      <c r="K451">
        <f t="shared" ref="K451:K514" si="22">I451-H451</f>
        <v>15</v>
      </c>
      <c r="L451">
        <f t="shared" si="21"/>
        <v>38</v>
      </c>
      <c r="M451" t="str">
        <f t="shared" ref="M451:M514" si="23">IF(L451="Invalid DOB","Invalid DOB",IF(L451&lt;=4,"Early childhood",IF(L451&lt;=17,"Children and Adolescent",IF(L451&lt;=24,"Young Adults",IF(L451&lt;=59,"Adults","Older Adults")))))</f>
        <v>Adults</v>
      </c>
    </row>
    <row r="452" spans="1:13" x14ac:dyDescent="0.25">
      <c r="A452" t="s">
        <v>1058</v>
      </c>
      <c r="B452" t="s">
        <v>1059</v>
      </c>
      <c r="C452" s="6">
        <v>31165</v>
      </c>
      <c r="D452" t="s">
        <v>27</v>
      </c>
      <c r="E452" t="s">
        <v>12</v>
      </c>
      <c r="F452" t="s">
        <v>13</v>
      </c>
      <c r="G452" t="s">
        <v>14</v>
      </c>
      <c r="H452" s="6">
        <v>44888</v>
      </c>
      <c r="I452" s="6">
        <v>44917</v>
      </c>
      <c r="J452" s="4">
        <v>12533.44</v>
      </c>
      <c r="K452">
        <f t="shared" si="22"/>
        <v>29</v>
      </c>
      <c r="L452">
        <f t="shared" si="21"/>
        <v>37</v>
      </c>
      <c r="M452" t="str">
        <f t="shared" si="23"/>
        <v>Adults</v>
      </c>
    </row>
    <row r="453" spans="1:13" x14ac:dyDescent="0.25">
      <c r="A453" t="s">
        <v>1060</v>
      </c>
      <c r="B453" t="s">
        <v>1061</v>
      </c>
      <c r="C453" s="6">
        <v>29387</v>
      </c>
      <c r="D453" t="s">
        <v>11</v>
      </c>
      <c r="E453" t="s">
        <v>178</v>
      </c>
      <c r="F453" t="s">
        <v>433</v>
      </c>
      <c r="G453" t="s">
        <v>157</v>
      </c>
      <c r="H453" s="6">
        <v>44889</v>
      </c>
      <c r="I453" s="6">
        <v>44895</v>
      </c>
      <c r="J453" s="4">
        <v>2541.12</v>
      </c>
      <c r="K453">
        <f t="shared" si="22"/>
        <v>6</v>
      </c>
      <c r="L453">
        <f t="shared" si="21"/>
        <v>42</v>
      </c>
      <c r="M453" t="str">
        <f t="shared" si="23"/>
        <v>Adults</v>
      </c>
    </row>
    <row r="454" spans="1:13" x14ac:dyDescent="0.25">
      <c r="A454" t="s">
        <v>1062</v>
      </c>
      <c r="B454" t="s">
        <v>1063</v>
      </c>
      <c r="C454" s="6">
        <v>35483</v>
      </c>
      <c r="D454" t="s">
        <v>27</v>
      </c>
      <c r="E454" t="s">
        <v>28</v>
      </c>
      <c r="F454" t="s">
        <v>43</v>
      </c>
      <c r="G454" t="s">
        <v>30</v>
      </c>
      <c r="H454" s="6">
        <v>44890</v>
      </c>
      <c r="I454" s="6">
        <v>44905</v>
      </c>
      <c r="J454" s="4">
        <v>19146.98</v>
      </c>
      <c r="K454">
        <f t="shared" si="22"/>
        <v>15</v>
      </c>
      <c r="L454">
        <f t="shared" si="21"/>
        <v>25</v>
      </c>
      <c r="M454" t="str">
        <f t="shared" si="23"/>
        <v>Adults</v>
      </c>
    </row>
    <row r="455" spans="1:13" x14ac:dyDescent="0.25">
      <c r="A455" t="s">
        <v>1064</v>
      </c>
      <c r="B455" t="s">
        <v>1065</v>
      </c>
      <c r="C455" s="6">
        <v>40008</v>
      </c>
      <c r="D455" t="s">
        <v>27</v>
      </c>
      <c r="E455" t="s">
        <v>22</v>
      </c>
      <c r="F455" t="s">
        <v>110</v>
      </c>
      <c r="G455" t="s">
        <v>107</v>
      </c>
      <c r="H455" s="6">
        <v>44890</v>
      </c>
      <c r="I455" s="6">
        <v>44920</v>
      </c>
      <c r="J455" s="4">
        <v>2099.39</v>
      </c>
      <c r="K455">
        <f t="shared" si="22"/>
        <v>30</v>
      </c>
      <c r="L455">
        <f t="shared" si="21"/>
        <v>13</v>
      </c>
      <c r="M455" t="str">
        <f t="shared" si="23"/>
        <v>Children and Adolescent</v>
      </c>
    </row>
    <row r="456" spans="1:13" x14ac:dyDescent="0.25">
      <c r="A456" t="s">
        <v>1066</v>
      </c>
      <c r="B456" t="s">
        <v>1067</v>
      </c>
      <c r="C456" s="6">
        <v>21228</v>
      </c>
      <c r="D456" t="s">
        <v>11</v>
      </c>
      <c r="E456" t="s">
        <v>72</v>
      </c>
      <c r="F456" t="s">
        <v>13</v>
      </c>
      <c r="G456" t="s">
        <v>74</v>
      </c>
      <c r="H456" s="6">
        <v>44892</v>
      </c>
      <c r="I456" s="6">
        <v>44905</v>
      </c>
      <c r="J456" s="4">
        <v>3872.95</v>
      </c>
      <c r="K456">
        <f t="shared" si="22"/>
        <v>13</v>
      </c>
      <c r="L456">
        <f t="shared" si="21"/>
        <v>64</v>
      </c>
      <c r="M456" t="str">
        <f t="shared" si="23"/>
        <v>Older Adults</v>
      </c>
    </row>
    <row r="457" spans="1:13" x14ac:dyDescent="0.25">
      <c r="A457" t="s">
        <v>1068</v>
      </c>
      <c r="B457" t="s">
        <v>1069</v>
      </c>
      <c r="C457" s="6">
        <v>26989</v>
      </c>
      <c r="D457" t="s">
        <v>11</v>
      </c>
      <c r="E457" t="s">
        <v>22</v>
      </c>
      <c r="F457" t="s">
        <v>110</v>
      </c>
      <c r="G457" t="s">
        <v>24</v>
      </c>
      <c r="H457" s="6">
        <v>44894</v>
      </c>
      <c r="I457" s="6">
        <v>44913</v>
      </c>
      <c r="J457" s="4">
        <v>2956.16</v>
      </c>
      <c r="K457">
        <f t="shared" si="22"/>
        <v>19</v>
      </c>
      <c r="L457">
        <f t="shared" si="21"/>
        <v>49</v>
      </c>
      <c r="M457" t="str">
        <f t="shared" si="23"/>
        <v>Adults</v>
      </c>
    </row>
    <row r="458" spans="1:13" x14ac:dyDescent="0.25">
      <c r="A458" t="s">
        <v>1070</v>
      </c>
      <c r="B458" t="s">
        <v>1071</v>
      </c>
      <c r="C458" s="6">
        <v>38660</v>
      </c>
      <c r="D458" t="s">
        <v>27</v>
      </c>
      <c r="E458" t="s">
        <v>178</v>
      </c>
      <c r="F458" t="s">
        <v>433</v>
      </c>
      <c r="G458" t="s">
        <v>157</v>
      </c>
      <c r="H458" s="6">
        <v>44895</v>
      </c>
      <c r="I458" s="6">
        <v>44900</v>
      </c>
      <c r="J458" s="4">
        <v>2521.6</v>
      </c>
      <c r="K458">
        <f t="shared" si="22"/>
        <v>5</v>
      </c>
      <c r="L458">
        <f t="shared" si="21"/>
        <v>17</v>
      </c>
      <c r="M458" t="str">
        <f t="shared" si="23"/>
        <v>Children and Adolescent</v>
      </c>
    </row>
    <row r="459" spans="1:13" x14ac:dyDescent="0.25">
      <c r="A459" t="s">
        <v>1072</v>
      </c>
      <c r="B459" t="s">
        <v>1073</v>
      </c>
      <c r="C459" s="6">
        <v>24248</v>
      </c>
      <c r="D459" t="s">
        <v>11</v>
      </c>
      <c r="E459" t="s">
        <v>60</v>
      </c>
      <c r="F459" t="s">
        <v>61</v>
      </c>
      <c r="G459" t="s">
        <v>62</v>
      </c>
      <c r="H459" s="6">
        <v>44896</v>
      </c>
      <c r="I459" s="6">
        <v>44910</v>
      </c>
      <c r="J459" s="4">
        <v>90128.72</v>
      </c>
      <c r="K459">
        <f t="shared" si="22"/>
        <v>14</v>
      </c>
      <c r="L459">
        <f t="shared" si="21"/>
        <v>56</v>
      </c>
      <c r="M459" t="str">
        <f t="shared" si="23"/>
        <v>Adults</v>
      </c>
    </row>
    <row r="460" spans="1:13" x14ac:dyDescent="0.25">
      <c r="A460" t="s">
        <v>1074</v>
      </c>
      <c r="B460" t="s">
        <v>1075</v>
      </c>
      <c r="C460" s="6">
        <v>24126</v>
      </c>
      <c r="D460" t="s">
        <v>27</v>
      </c>
      <c r="E460" t="s">
        <v>22</v>
      </c>
      <c r="F460" t="s">
        <v>23</v>
      </c>
      <c r="G460" t="s">
        <v>24</v>
      </c>
      <c r="H460" s="6">
        <v>44897</v>
      </c>
      <c r="I460" s="6">
        <v>44917</v>
      </c>
      <c r="J460" s="4">
        <v>2517.54</v>
      </c>
      <c r="K460">
        <f t="shared" si="22"/>
        <v>20</v>
      </c>
      <c r="L460">
        <f t="shared" si="21"/>
        <v>56</v>
      </c>
      <c r="M460" t="str">
        <f t="shared" si="23"/>
        <v>Adults</v>
      </c>
    </row>
    <row r="461" spans="1:13" x14ac:dyDescent="0.25">
      <c r="A461" t="s">
        <v>1076</v>
      </c>
      <c r="B461" t="s">
        <v>1077</v>
      </c>
      <c r="C461" s="6">
        <v>31566</v>
      </c>
      <c r="D461" t="s">
        <v>11</v>
      </c>
      <c r="E461" t="s">
        <v>51</v>
      </c>
      <c r="F461" t="s">
        <v>29</v>
      </c>
      <c r="G461" t="s">
        <v>662</v>
      </c>
      <c r="H461" s="6">
        <v>44899</v>
      </c>
      <c r="I461" s="6">
        <v>44921</v>
      </c>
      <c r="J461" s="4">
        <v>2705.2</v>
      </c>
      <c r="K461">
        <f t="shared" si="22"/>
        <v>22</v>
      </c>
      <c r="L461">
        <f t="shared" si="21"/>
        <v>36</v>
      </c>
      <c r="M461" t="str">
        <f t="shared" si="23"/>
        <v>Adults</v>
      </c>
    </row>
    <row r="462" spans="1:13" x14ac:dyDescent="0.25">
      <c r="A462" t="s">
        <v>1078</v>
      </c>
      <c r="B462" t="s">
        <v>1079</v>
      </c>
      <c r="C462" s="6">
        <v>38017</v>
      </c>
      <c r="D462" t="s">
        <v>27</v>
      </c>
      <c r="E462" t="s">
        <v>38</v>
      </c>
      <c r="F462" t="s">
        <v>39</v>
      </c>
      <c r="G462" t="s">
        <v>40</v>
      </c>
      <c r="H462" s="6">
        <v>44899</v>
      </c>
      <c r="I462" s="6">
        <v>44906</v>
      </c>
      <c r="J462" s="4">
        <v>2584.96</v>
      </c>
      <c r="K462">
        <f t="shared" si="22"/>
        <v>7</v>
      </c>
      <c r="L462">
        <f t="shared" si="21"/>
        <v>18</v>
      </c>
      <c r="M462" t="str">
        <f t="shared" si="23"/>
        <v>Young Adults</v>
      </c>
    </row>
    <row r="463" spans="1:13" x14ac:dyDescent="0.25">
      <c r="A463" t="s">
        <v>1080</v>
      </c>
      <c r="B463" t="s">
        <v>1081</v>
      </c>
      <c r="C463" s="6">
        <v>10314</v>
      </c>
      <c r="D463" t="s">
        <v>11</v>
      </c>
      <c r="E463" t="s">
        <v>187</v>
      </c>
      <c r="F463" t="s">
        <v>188</v>
      </c>
      <c r="G463" t="s">
        <v>192</v>
      </c>
      <c r="H463" s="6">
        <v>44900</v>
      </c>
      <c r="I463" s="6">
        <v>44926</v>
      </c>
      <c r="J463" s="4">
        <v>6244.67</v>
      </c>
      <c r="K463">
        <f t="shared" si="22"/>
        <v>26</v>
      </c>
      <c r="L463">
        <f t="shared" si="21"/>
        <v>94</v>
      </c>
      <c r="M463" t="str">
        <f t="shared" si="23"/>
        <v>Older Adults</v>
      </c>
    </row>
    <row r="464" spans="1:13" x14ac:dyDescent="0.25">
      <c r="A464" t="s">
        <v>1082</v>
      </c>
      <c r="B464" t="s">
        <v>1083</v>
      </c>
      <c r="C464" s="6">
        <v>18718</v>
      </c>
      <c r="D464" t="s">
        <v>27</v>
      </c>
      <c r="E464" t="s">
        <v>127</v>
      </c>
      <c r="F464" t="s">
        <v>156</v>
      </c>
      <c r="G464" t="s">
        <v>510</v>
      </c>
      <c r="H464" s="6">
        <v>44900</v>
      </c>
      <c r="I464" s="6">
        <v>44903</v>
      </c>
      <c r="J464" s="4">
        <v>1183.26</v>
      </c>
      <c r="K464">
        <f t="shared" si="22"/>
        <v>3</v>
      </c>
      <c r="L464">
        <f t="shared" si="21"/>
        <v>71</v>
      </c>
      <c r="M464" t="str">
        <f t="shared" si="23"/>
        <v>Older Adults</v>
      </c>
    </row>
    <row r="465" spans="1:13" x14ac:dyDescent="0.25">
      <c r="A465" t="s">
        <v>1084</v>
      </c>
      <c r="B465" t="s">
        <v>1085</v>
      </c>
      <c r="C465" s="6">
        <v>44626</v>
      </c>
      <c r="D465" t="s">
        <v>27</v>
      </c>
      <c r="E465" t="s">
        <v>65</v>
      </c>
      <c r="F465" t="s">
        <v>23</v>
      </c>
      <c r="G465" t="s">
        <v>66</v>
      </c>
      <c r="H465" s="6">
        <v>44903</v>
      </c>
      <c r="I465" s="6">
        <v>44927</v>
      </c>
      <c r="J465" s="4">
        <v>102.55</v>
      </c>
      <c r="K465">
        <f t="shared" si="22"/>
        <v>24</v>
      </c>
      <c r="L465">
        <f t="shared" si="21"/>
        <v>0</v>
      </c>
      <c r="M465" t="str">
        <f t="shared" si="23"/>
        <v>Early childhood</v>
      </c>
    </row>
    <row r="466" spans="1:13" x14ac:dyDescent="0.25">
      <c r="A466" t="s">
        <v>1086</v>
      </c>
      <c r="B466" t="s">
        <v>1087</v>
      </c>
      <c r="C466" s="6">
        <v>35982</v>
      </c>
      <c r="D466" t="s">
        <v>11</v>
      </c>
      <c r="E466" t="s">
        <v>51</v>
      </c>
      <c r="F466" t="s">
        <v>13</v>
      </c>
      <c r="G466" t="s">
        <v>662</v>
      </c>
      <c r="H466" s="6">
        <v>44905</v>
      </c>
      <c r="I466" s="6">
        <v>44907</v>
      </c>
      <c r="J466" s="4">
        <v>7358.8</v>
      </c>
      <c r="K466">
        <f t="shared" si="22"/>
        <v>2</v>
      </c>
      <c r="L466">
        <f t="shared" si="21"/>
        <v>24</v>
      </c>
      <c r="M466" t="str">
        <f t="shared" si="23"/>
        <v>Young Adults</v>
      </c>
    </row>
    <row r="467" spans="1:13" x14ac:dyDescent="0.25">
      <c r="A467" t="s">
        <v>1088</v>
      </c>
      <c r="B467" t="s">
        <v>1089</v>
      </c>
      <c r="C467" s="6">
        <v>16586</v>
      </c>
      <c r="D467" t="s">
        <v>27</v>
      </c>
      <c r="E467" t="s">
        <v>22</v>
      </c>
      <c r="F467" t="s">
        <v>110</v>
      </c>
      <c r="G467" t="s">
        <v>24</v>
      </c>
      <c r="H467" s="6">
        <v>44906</v>
      </c>
      <c r="I467" s="6">
        <v>44910</v>
      </c>
      <c r="J467" s="4">
        <v>2904.01</v>
      </c>
      <c r="K467">
        <f t="shared" si="22"/>
        <v>4</v>
      </c>
      <c r="L467">
        <f t="shared" si="21"/>
        <v>77</v>
      </c>
      <c r="M467" t="str">
        <f t="shared" si="23"/>
        <v>Older Adults</v>
      </c>
    </row>
    <row r="468" spans="1:13" x14ac:dyDescent="0.25">
      <c r="A468" t="s">
        <v>1090</v>
      </c>
      <c r="B468" t="s">
        <v>1091</v>
      </c>
      <c r="C468" s="6">
        <v>38984</v>
      </c>
      <c r="D468" t="s">
        <v>27</v>
      </c>
      <c r="E468" t="s">
        <v>55</v>
      </c>
      <c r="F468" t="s">
        <v>217</v>
      </c>
      <c r="G468" t="s">
        <v>228</v>
      </c>
      <c r="H468" s="6">
        <v>44906</v>
      </c>
      <c r="I468" s="6">
        <v>44922</v>
      </c>
      <c r="J468" s="4">
        <v>3427.3</v>
      </c>
      <c r="K468">
        <f t="shared" si="22"/>
        <v>16</v>
      </c>
      <c r="L468">
        <f t="shared" si="21"/>
        <v>16</v>
      </c>
      <c r="M468" t="str">
        <f t="shared" si="23"/>
        <v>Children and Adolescent</v>
      </c>
    </row>
    <row r="469" spans="1:13" x14ac:dyDescent="0.25">
      <c r="A469" t="s">
        <v>1092</v>
      </c>
      <c r="B469" t="s">
        <v>1093</v>
      </c>
      <c r="C469" s="6">
        <v>8878</v>
      </c>
      <c r="D469" t="s">
        <v>11</v>
      </c>
      <c r="E469" t="s">
        <v>60</v>
      </c>
      <c r="F469" t="s">
        <v>188</v>
      </c>
      <c r="G469" t="s">
        <v>89</v>
      </c>
      <c r="H469" s="6">
        <v>44907</v>
      </c>
      <c r="I469" s="6">
        <v>44934</v>
      </c>
      <c r="J469" s="4">
        <v>99769.22</v>
      </c>
      <c r="K469">
        <f t="shared" si="22"/>
        <v>27</v>
      </c>
      <c r="L469">
        <f t="shared" si="21"/>
        <v>98</v>
      </c>
      <c r="M469" t="str">
        <f t="shared" si="23"/>
        <v>Older Adults</v>
      </c>
    </row>
    <row r="470" spans="1:13" x14ac:dyDescent="0.25">
      <c r="A470" t="s">
        <v>1094</v>
      </c>
      <c r="B470" t="s">
        <v>1095</v>
      </c>
      <c r="C470" s="6">
        <v>36132</v>
      </c>
      <c r="D470" t="s">
        <v>27</v>
      </c>
      <c r="E470" t="s">
        <v>102</v>
      </c>
      <c r="F470" t="s">
        <v>103</v>
      </c>
      <c r="G470" t="s">
        <v>160</v>
      </c>
      <c r="H470" s="6">
        <v>44908</v>
      </c>
      <c r="I470" s="6">
        <v>44916</v>
      </c>
      <c r="J470" s="4">
        <v>37573.120000000003</v>
      </c>
      <c r="K470">
        <f t="shared" si="22"/>
        <v>8</v>
      </c>
      <c r="L470">
        <f t="shared" si="21"/>
        <v>24</v>
      </c>
      <c r="M470" t="str">
        <f t="shared" si="23"/>
        <v>Young Adults</v>
      </c>
    </row>
    <row r="471" spans="1:13" x14ac:dyDescent="0.25">
      <c r="A471" t="s">
        <v>1096</v>
      </c>
      <c r="B471" t="s">
        <v>1097</v>
      </c>
      <c r="C471" s="6">
        <v>12115</v>
      </c>
      <c r="D471" t="s">
        <v>11</v>
      </c>
      <c r="E471" t="s">
        <v>178</v>
      </c>
      <c r="F471" t="s">
        <v>179</v>
      </c>
      <c r="G471" t="s">
        <v>157</v>
      </c>
      <c r="H471" s="6">
        <v>44909</v>
      </c>
      <c r="I471" s="6">
        <v>44910</v>
      </c>
      <c r="J471" s="4">
        <v>1597.25</v>
      </c>
      <c r="K471">
        <f t="shared" si="22"/>
        <v>1</v>
      </c>
      <c r="L471">
        <f t="shared" si="21"/>
        <v>89</v>
      </c>
      <c r="M471" t="str">
        <f t="shared" si="23"/>
        <v>Older Adults</v>
      </c>
    </row>
    <row r="472" spans="1:13" x14ac:dyDescent="0.25">
      <c r="A472" t="s">
        <v>1098</v>
      </c>
      <c r="B472" t="s">
        <v>1099</v>
      </c>
      <c r="C472" s="6">
        <v>19811</v>
      </c>
      <c r="D472" t="s">
        <v>27</v>
      </c>
      <c r="E472" t="s">
        <v>55</v>
      </c>
      <c r="F472" t="s">
        <v>217</v>
      </c>
      <c r="G472" t="s">
        <v>218</v>
      </c>
      <c r="H472" s="6">
        <v>44910</v>
      </c>
      <c r="I472" s="6">
        <v>44939</v>
      </c>
      <c r="J472" s="4">
        <v>3165.19</v>
      </c>
      <c r="K472">
        <f t="shared" si="22"/>
        <v>29</v>
      </c>
      <c r="L472">
        <f t="shared" si="21"/>
        <v>68</v>
      </c>
      <c r="M472" t="str">
        <f t="shared" si="23"/>
        <v>Older Adults</v>
      </c>
    </row>
    <row r="473" spans="1:13" x14ac:dyDescent="0.25">
      <c r="A473" t="s">
        <v>1100</v>
      </c>
      <c r="B473" t="s">
        <v>1101</v>
      </c>
      <c r="C473" s="6">
        <v>29002</v>
      </c>
      <c r="D473" t="s">
        <v>11</v>
      </c>
      <c r="E473" t="s">
        <v>163</v>
      </c>
      <c r="F473" t="s">
        <v>13</v>
      </c>
      <c r="G473" t="s">
        <v>233</v>
      </c>
      <c r="H473" s="6">
        <v>44910</v>
      </c>
      <c r="I473" s="6">
        <v>44938</v>
      </c>
      <c r="J473" s="4">
        <v>23136.14</v>
      </c>
      <c r="K473">
        <f t="shared" si="22"/>
        <v>28</v>
      </c>
      <c r="L473">
        <f t="shared" si="21"/>
        <v>43</v>
      </c>
      <c r="M473" t="str">
        <f t="shared" si="23"/>
        <v>Adults</v>
      </c>
    </row>
    <row r="474" spans="1:13" x14ac:dyDescent="0.25">
      <c r="A474" t="s">
        <v>1102</v>
      </c>
      <c r="B474" t="s">
        <v>1103</v>
      </c>
      <c r="C474" s="6">
        <v>13723</v>
      </c>
      <c r="D474" t="s">
        <v>11</v>
      </c>
      <c r="E474" t="s">
        <v>362</v>
      </c>
      <c r="F474" t="s">
        <v>172</v>
      </c>
      <c r="G474" t="s">
        <v>603</v>
      </c>
      <c r="H474" s="6">
        <v>44910</v>
      </c>
      <c r="I474" s="6">
        <v>44916</v>
      </c>
      <c r="J474" s="4">
        <v>9096.74</v>
      </c>
      <c r="K474">
        <f t="shared" si="22"/>
        <v>6</v>
      </c>
      <c r="L474">
        <f t="shared" si="21"/>
        <v>85</v>
      </c>
      <c r="M474" t="str">
        <f t="shared" si="23"/>
        <v>Older Adults</v>
      </c>
    </row>
    <row r="475" spans="1:13" x14ac:dyDescent="0.25">
      <c r="A475" t="s">
        <v>1104</v>
      </c>
      <c r="B475" t="s">
        <v>1105</v>
      </c>
      <c r="C475" s="6">
        <v>37844</v>
      </c>
      <c r="D475" t="s">
        <v>11</v>
      </c>
      <c r="E475" t="s">
        <v>84</v>
      </c>
      <c r="F475" t="s">
        <v>85</v>
      </c>
      <c r="G475" t="s">
        <v>238</v>
      </c>
      <c r="H475" s="6">
        <v>44914</v>
      </c>
      <c r="I475" s="6">
        <v>44920</v>
      </c>
      <c r="J475" s="4">
        <v>2678.94</v>
      </c>
      <c r="K475">
        <f t="shared" si="22"/>
        <v>6</v>
      </c>
      <c r="L475">
        <f t="shared" si="21"/>
        <v>19</v>
      </c>
      <c r="M475" t="str">
        <f t="shared" si="23"/>
        <v>Young Adults</v>
      </c>
    </row>
    <row r="476" spans="1:13" x14ac:dyDescent="0.25">
      <c r="A476" t="s">
        <v>1106</v>
      </c>
      <c r="B476" t="s">
        <v>322</v>
      </c>
      <c r="C476" s="6">
        <v>37517</v>
      </c>
      <c r="D476" t="s">
        <v>27</v>
      </c>
      <c r="E476" t="s">
        <v>178</v>
      </c>
      <c r="F476" t="s">
        <v>433</v>
      </c>
      <c r="G476" t="s">
        <v>157</v>
      </c>
      <c r="H476" s="6">
        <v>44914</v>
      </c>
      <c r="I476" s="6">
        <v>44919</v>
      </c>
      <c r="J476" s="4">
        <v>2881.96</v>
      </c>
      <c r="K476">
        <f t="shared" si="22"/>
        <v>5</v>
      </c>
      <c r="L476">
        <f t="shared" si="21"/>
        <v>20</v>
      </c>
      <c r="M476" t="str">
        <f t="shared" si="23"/>
        <v>Young Adults</v>
      </c>
    </row>
    <row r="477" spans="1:13" x14ac:dyDescent="0.25">
      <c r="A477" t="s">
        <v>1107</v>
      </c>
      <c r="B477" t="s">
        <v>1108</v>
      </c>
      <c r="C477" s="6">
        <v>24334</v>
      </c>
      <c r="D477" t="s">
        <v>11</v>
      </c>
      <c r="E477" t="s">
        <v>302</v>
      </c>
      <c r="F477" t="s">
        <v>29</v>
      </c>
      <c r="G477" t="s">
        <v>399</v>
      </c>
      <c r="H477" s="6">
        <v>44914</v>
      </c>
      <c r="I477" s="6">
        <v>44935</v>
      </c>
      <c r="J477" s="4">
        <v>19911.38</v>
      </c>
      <c r="K477">
        <f t="shared" si="22"/>
        <v>21</v>
      </c>
      <c r="L477">
        <f t="shared" si="21"/>
        <v>56</v>
      </c>
      <c r="M477" t="str">
        <f t="shared" si="23"/>
        <v>Adults</v>
      </c>
    </row>
    <row r="478" spans="1:13" x14ac:dyDescent="0.25">
      <c r="A478" t="s">
        <v>1109</v>
      </c>
      <c r="B478" t="s">
        <v>1110</v>
      </c>
      <c r="C478" s="6">
        <v>40971</v>
      </c>
      <c r="D478" t="s">
        <v>11</v>
      </c>
      <c r="E478" t="s">
        <v>138</v>
      </c>
      <c r="F478" t="s">
        <v>209</v>
      </c>
      <c r="G478" t="s">
        <v>146</v>
      </c>
      <c r="H478" s="6">
        <v>44916</v>
      </c>
      <c r="I478" s="6">
        <v>44922</v>
      </c>
      <c r="J478" s="4">
        <v>2585.96</v>
      </c>
      <c r="K478">
        <f t="shared" si="22"/>
        <v>6</v>
      </c>
      <c r="L478">
        <f t="shared" si="21"/>
        <v>10</v>
      </c>
      <c r="M478" t="str">
        <f t="shared" si="23"/>
        <v>Children and Adolescent</v>
      </c>
    </row>
    <row r="479" spans="1:13" x14ac:dyDescent="0.25">
      <c r="A479" t="s">
        <v>1111</v>
      </c>
      <c r="B479" t="s">
        <v>1112</v>
      </c>
      <c r="C479" s="6">
        <v>10776</v>
      </c>
      <c r="D479" t="s">
        <v>27</v>
      </c>
      <c r="E479" t="s">
        <v>92</v>
      </c>
      <c r="F479" t="s">
        <v>13</v>
      </c>
      <c r="G479" t="s">
        <v>296</v>
      </c>
      <c r="H479" s="6">
        <v>44918</v>
      </c>
      <c r="I479" s="6">
        <v>44926</v>
      </c>
      <c r="J479" s="4">
        <v>2154.41</v>
      </c>
      <c r="K479">
        <f t="shared" si="22"/>
        <v>8</v>
      </c>
      <c r="L479">
        <f t="shared" si="21"/>
        <v>93</v>
      </c>
      <c r="M479" t="str">
        <f t="shared" si="23"/>
        <v>Older Adults</v>
      </c>
    </row>
    <row r="480" spans="1:13" x14ac:dyDescent="0.25">
      <c r="A480" t="s">
        <v>1113</v>
      </c>
      <c r="B480" t="s">
        <v>1114</v>
      </c>
      <c r="C480" s="6">
        <v>36953</v>
      </c>
      <c r="D480" t="s">
        <v>27</v>
      </c>
      <c r="E480" t="s">
        <v>152</v>
      </c>
      <c r="F480" t="s">
        <v>13</v>
      </c>
      <c r="G480" t="s">
        <v>195</v>
      </c>
      <c r="H480" s="6">
        <v>44924</v>
      </c>
      <c r="I480" s="6">
        <v>44928</v>
      </c>
      <c r="J480" s="4">
        <v>16334.51</v>
      </c>
      <c r="K480">
        <f t="shared" si="22"/>
        <v>4</v>
      </c>
      <c r="L480">
        <f t="shared" si="21"/>
        <v>21</v>
      </c>
      <c r="M480" t="str">
        <f t="shared" si="23"/>
        <v>Young Adults</v>
      </c>
    </row>
    <row r="481" spans="1:13" x14ac:dyDescent="0.25">
      <c r="A481" t="s">
        <v>1115</v>
      </c>
      <c r="B481" t="s">
        <v>1116</v>
      </c>
      <c r="C481" s="6">
        <v>42374</v>
      </c>
      <c r="D481" t="s">
        <v>27</v>
      </c>
      <c r="E481" t="s">
        <v>17</v>
      </c>
      <c r="F481" t="s">
        <v>18</v>
      </c>
      <c r="G481" t="s">
        <v>135</v>
      </c>
      <c r="H481" s="6">
        <v>44925</v>
      </c>
      <c r="I481" s="6">
        <v>44930</v>
      </c>
      <c r="J481" s="4">
        <v>2111.14</v>
      </c>
      <c r="K481">
        <f t="shared" si="22"/>
        <v>5</v>
      </c>
      <c r="L481">
        <f t="shared" si="21"/>
        <v>6</v>
      </c>
      <c r="M481" t="str">
        <f t="shared" si="23"/>
        <v>Children and Adolescent</v>
      </c>
    </row>
    <row r="482" spans="1:13" x14ac:dyDescent="0.25">
      <c r="A482" t="s">
        <v>1117</v>
      </c>
      <c r="B482" t="s">
        <v>1118</v>
      </c>
      <c r="C482" s="6">
        <v>13743</v>
      </c>
      <c r="D482" t="s">
        <v>11</v>
      </c>
      <c r="E482" t="s">
        <v>22</v>
      </c>
      <c r="F482" t="s">
        <v>110</v>
      </c>
      <c r="G482" t="s">
        <v>107</v>
      </c>
      <c r="H482" s="6">
        <v>44925</v>
      </c>
      <c r="I482" s="6">
        <v>44947</v>
      </c>
      <c r="J482" s="4">
        <v>1213.74</v>
      </c>
      <c r="K482">
        <f t="shared" si="22"/>
        <v>22</v>
      </c>
      <c r="L482">
        <f t="shared" si="21"/>
        <v>85</v>
      </c>
      <c r="M482" t="str">
        <f t="shared" si="23"/>
        <v>Older Adults</v>
      </c>
    </row>
    <row r="483" spans="1:13" x14ac:dyDescent="0.25">
      <c r="A483" t="s">
        <v>1119</v>
      </c>
      <c r="B483" t="s">
        <v>1120</v>
      </c>
      <c r="C483" s="6">
        <v>23098</v>
      </c>
      <c r="D483" t="s">
        <v>11</v>
      </c>
      <c r="E483" t="s">
        <v>65</v>
      </c>
      <c r="F483" t="s">
        <v>518</v>
      </c>
      <c r="G483" t="s">
        <v>66</v>
      </c>
      <c r="H483" s="6">
        <v>44927</v>
      </c>
      <c r="I483" s="6">
        <v>44932</v>
      </c>
      <c r="J483" s="4">
        <v>441.81</v>
      </c>
      <c r="K483">
        <f t="shared" si="22"/>
        <v>5</v>
      </c>
      <c r="L483">
        <f t="shared" si="21"/>
        <v>59</v>
      </c>
      <c r="M483" t="str">
        <f t="shared" si="23"/>
        <v>Adults</v>
      </c>
    </row>
    <row r="484" spans="1:13" x14ac:dyDescent="0.25">
      <c r="A484" t="s">
        <v>1121</v>
      </c>
      <c r="B484" t="s">
        <v>1122</v>
      </c>
      <c r="C484" s="6">
        <v>33290</v>
      </c>
      <c r="D484" t="s">
        <v>11</v>
      </c>
      <c r="E484" t="s">
        <v>302</v>
      </c>
      <c r="F484" t="s">
        <v>29</v>
      </c>
      <c r="G484" t="s">
        <v>303</v>
      </c>
      <c r="H484" s="6">
        <v>44928</v>
      </c>
      <c r="I484" s="6">
        <v>44944</v>
      </c>
      <c r="J484" s="4">
        <v>6006.38</v>
      </c>
      <c r="K484">
        <f t="shared" si="22"/>
        <v>16</v>
      </c>
      <c r="L484">
        <f t="shared" si="21"/>
        <v>31</v>
      </c>
      <c r="M484" t="str">
        <f t="shared" si="23"/>
        <v>Adults</v>
      </c>
    </row>
    <row r="485" spans="1:13" x14ac:dyDescent="0.25">
      <c r="A485" t="s">
        <v>1123</v>
      </c>
      <c r="B485" t="s">
        <v>1124</v>
      </c>
      <c r="C485" s="6">
        <v>45311</v>
      </c>
      <c r="D485" t="s">
        <v>27</v>
      </c>
      <c r="E485" t="s">
        <v>38</v>
      </c>
      <c r="F485" t="s">
        <v>13</v>
      </c>
      <c r="G485" t="s">
        <v>40</v>
      </c>
      <c r="H485" s="6">
        <v>44929</v>
      </c>
      <c r="I485" s="6">
        <v>44956</v>
      </c>
      <c r="J485" s="4">
        <v>1173.73</v>
      </c>
      <c r="K485">
        <f t="shared" si="22"/>
        <v>27</v>
      </c>
      <c r="L485" t="str">
        <f t="shared" si="21"/>
        <v>Invalid DOB</v>
      </c>
      <c r="M485" t="str">
        <f t="shared" si="23"/>
        <v>Invalid DOB</v>
      </c>
    </row>
    <row r="486" spans="1:13" x14ac:dyDescent="0.25">
      <c r="A486" t="s">
        <v>1125</v>
      </c>
      <c r="B486" t="s">
        <v>1126</v>
      </c>
      <c r="C486" s="6">
        <v>10356</v>
      </c>
      <c r="D486" t="s">
        <v>11</v>
      </c>
      <c r="E486" t="s">
        <v>51</v>
      </c>
      <c r="F486" t="s">
        <v>29</v>
      </c>
      <c r="G486" t="s">
        <v>52</v>
      </c>
      <c r="H486" s="6">
        <v>44929</v>
      </c>
      <c r="I486" s="6">
        <v>44951</v>
      </c>
      <c r="J486" s="4">
        <v>5012.87</v>
      </c>
      <c r="K486">
        <f t="shared" si="22"/>
        <v>22</v>
      </c>
      <c r="L486">
        <f t="shared" si="21"/>
        <v>94</v>
      </c>
      <c r="M486" t="str">
        <f t="shared" si="23"/>
        <v>Older Adults</v>
      </c>
    </row>
    <row r="487" spans="1:13" x14ac:dyDescent="0.25">
      <c r="A487" t="s">
        <v>1127</v>
      </c>
      <c r="B487" t="s">
        <v>1128</v>
      </c>
      <c r="C487" s="6">
        <v>37149</v>
      </c>
      <c r="D487" t="s">
        <v>11</v>
      </c>
      <c r="E487" t="s">
        <v>97</v>
      </c>
      <c r="F487" t="s">
        <v>98</v>
      </c>
      <c r="G487" t="s">
        <v>221</v>
      </c>
      <c r="H487" s="6">
        <v>44929</v>
      </c>
      <c r="I487" s="6">
        <v>44933</v>
      </c>
      <c r="J487" s="4">
        <v>961.71</v>
      </c>
      <c r="K487">
        <f t="shared" si="22"/>
        <v>4</v>
      </c>
      <c r="L487">
        <f t="shared" si="21"/>
        <v>21</v>
      </c>
      <c r="M487" t="str">
        <f t="shared" si="23"/>
        <v>Young Adults</v>
      </c>
    </row>
    <row r="488" spans="1:13" x14ac:dyDescent="0.25">
      <c r="A488" t="s">
        <v>1129</v>
      </c>
      <c r="B488" t="s">
        <v>1130</v>
      </c>
      <c r="C488" s="6">
        <v>39304</v>
      </c>
      <c r="D488" t="s">
        <v>27</v>
      </c>
      <c r="E488" t="s">
        <v>17</v>
      </c>
      <c r="F488" t="s">
        <v>34</v>
      </c>
      <c r="G488" t="s">
        <v>135</v>
      </c>
      <c r="H488" s="6">
        <v>44930</v>
      </c>
      <c r="I488" s="6">
        <v>44947</v>
      </c>
      <c r="J488" s="4">
        <v>1050.8499999999999</v>
      </c>
      <c r="K488">
        <f t="shared" si="22"/>
        <v>17</v>
      </c>
      <c r="L488">
        <f t="shared" si="21"/>
        <v>15</v>
      </c>
      <c r="M488" t="str">
        <f t="shared" si="23"/>
        <v>Children and Adolescent</v>
      </c>
    </row>
    <row r="489" spans="1:13" x14ac:dyDescent="0.25">
      <c r="A489" t="s">
        <v>1131</v>
      </c>
      <c r="B489" t="s">
        <v>1132</v>
      </c>
      <c r="C489" s="6">
        <v>38272</v>
      </c>
      <c r="D489" t="s">
        <v>27</v>
      </c>
      <c r="E489" t="s">
        <v>138</v>
      </c>
      <c r="F489" t="s">
        <v>110</v>
      </c>
      <c r="G489" t="s">
        <v>139</v>
      </c>
      <c r="H489" s="6">
        <v>44931</v>
      </c>
      <c r="I489" s="6">
        <v>44939</v>
      </c>
      <c r="J489" s="4">
        <v>936.37</v>
      </c>
      <c r="K489">
        <f t="shared" si="22"/>
        <v>8</v>
      </c>
      <c r="L489">
        <f t="shared" si="21"/>
        <v>18</v>
      </c>
      <c r="M489" t="str">
        <f t="shared" si="23"/>
        <v>Young Adults</v>
      </c>
    </row>
    <row r="490" spans="1:13" x14ac:dyDescent="0.25">
      <c r="A490" t="s">
        <v>1133</v>
      </c>
      <c r="B490" t="s">
        <v>1134</v>
      </c>
      <c r="C490" s="6">
        <v>31489</v>
      </c>
      <c r="D490" t="s">
        <v>11</v>
      </c>
      <c r="E490" t="s">
        <v>281</v>
      </c>
      <c r="F490" t="s">
        <v>13</v>
      </c>
      <c r="G490" t="s">
        <v>282</v>
      </c>
      <c r="H490" s="6">
        <v>44931</v>
      </c>
      <c r="I490" s="6">
        <v>44957</v>
      </c>
      <c r="J490" s="4">
        <v>20876.25</v>
      </c>
      <c r="K490">
        <f t="shared" si="22"/>
        <v>26</v>
      </c>
      <c r="L490">
        <f t="shared" si="21"/>
        <v>36</v>
      </c>
      <c r="M490" t="str">
        <f t="shared" si="23"/>
        <v>Adults</v>
      </c>
    </row>
    <row r="491" spans="1:13" x14ac:dyDescent="0.25">
      <c r="A491" t="s">
        <v>1135</v>
      </c>
      <c r="B491" t="s">
        <v>1136</v>
      </c>
      <c r="C491" s="6">
        <v>14924</v>
      </c>
      <c r="D491" t="s">
        <v>27</v>
      </c>
      <c r="E491" t="s">
        <v>60</v>
      </c>
      <c r="F491" t="s">
        <v>61</v>
      </c>
      <c r="G491" t="s">
        <v>89</v>
      </c>
      <c r="H491" s="6">
        <v>44932</v>
      </c>
      <c r="I491" s="6">
        <v>44934</v>
      </c>
      <c r="J491" s="4">
        <v>98557.17</v>
      </c>
      <c r="K491">
        <f t="shared" si="22"/>
        <v>2</v>
      </c>
      <c r="L491">
        <f t="shared" si="21"/>
        <v>82</v>
      </c>
      <c r="M491" t="str">
        <f t="shared" si="23"/>
        <v>Older Adults</v>
      </c>
    </row>
    <row r="492" spans="1:13" x14ac:dyDescent="0.25">
      <c r="A492" t="s">
        <v>1137</v>
      </c>
      <c r="B492" t="s">
        <v>1138</v>
      </c>
      <c r="C492" s="6">
        <v>32992</v>
      </c>
      <c r="D492" t="s">
        <v>27</v>
      </c>
      <c r="E492" t="s">
        <v>178</v>
      </c>
      <c r="F492" t="s">
        <v>179</v>
      </c>
      <c r="G492" t="s">
        <v>545</v>
      </c>
      <c r="H492" s="6">
        <v>44933</v>
      </c>
      <c r="I492" s="6">
        <v>44943</v>
      </c>
      <c r="J492" s="4">
        <v>558.25</v>
      </c>
      <c r="K492">
        <f t="shared" si="22"/>
        <v>10</v>
      </c>
      <c r="L492">
        <f t="shared" si="21"/>
        <v>32</v>
      </c>
      <c r="M492" t="str">
        <f t="shared" si="23"/>
        <v>Adults</v>
      </c>
    </row>
    <row r="493" spans="1:13" x14ac:dyDescent="0.25">
      <c r="A493" t="s">
        <v>1139</v>
      </c>
      <c r="B493" t="s">
        <v>1140</v>
      </c>
      <c r="C493" s="6">
        <v>11073</v>
      </c>
      <c r="D493" t="s">
        <v>27</v>
      </c>
      <c r="E493" t="s">
        <v>33</v>
      </c>
      <c r="F493" t="s">
        <v>13</v>
      </c>
      <c r="G493" t="s">
        <v>378</v>
      </c>
      <c r="H493" s="6">
        <v>44933</v>
      </c>
      <c r="I493" s="6">
        <v>44962</v>
      </c>
      <c r="J493" s="4">
        <v>4789.76</v>
      </c>
      <c r="K493">
        <f t="shared" si="22"/>
        <v>29</v>
      </c>
      <c r="L493">
        <f t="shared" si="21"/>
        <v>92</v>
      </c>
      <c r="M493" t="str">
        <f t="shared" si="23"/>
        <v>Older Adults</v>
      </c>
    </row>
    <row r="494" spans="1:13" x14ac:dyDescent="0.25">
      <c r="A494" t="s">
        <v>1141</v>
      </c>
      <c r="B494" t="s">
        <v>1142</v>
      </c>
      <c r="C494" s="6">
        <v>14104</v>
      </c>
      <c r="D494" t="s">
        <v>27</v>
      </c>
      <c r="E494" t="s">
        <v>281</v>
      </c>
      <c r="F494" t="s">
        <v>13</v>
      </c>
      <c r="G494" t="s">
        <v>616</v>
      </c>
      <c r="H494" s="6">
        <v>44936</v>
      </c>
      <c r="I494" s="6">
        <v>44951</v>
      </c>
      <c r="J494" s="4">
        <v>20060.7</v>
      </c>
      <c r="K494">
        <f t="shared" si="22"/>
        <v>15</v>
      </c>
      <c r="L494">
        <f t="shared" si="21"/>
        <v>84</v>
      </c>
      <c r="M494" t="str">
        <f t="shared" si="23"/>
        <v>Older Adults</v>
      </c>
    </row>
    <row r="495" spans="1:13" x14ac:dyDescent="0.25">
      <c r="A495" t="s">
        <v>1143</v>
      </c>
      <c r="B495" t="s">
        <v>1144</v>
      </c>
      <c r="C495" s="6">
        <v>40260</v>
      </c>
      <c r="D495" t="s">
        <v>11</v>
      </c>
      <c r="E495" t="s">
        <v>271</v>
      </c>
      <c r="F495" t="s">
        <v>272</v>
      </c>
      <c r="G495" t="s">
        <v>313</v>
      </c>
      <c r="H495" s="6">
        <v>44936</v>
      </c>
      <c r="I495" s="6">
        <v>44954</v>
      </c>
      <c r="J495" s="4">
        <v>805.41</v>
      </c>
      <c r="K495">
        <f t="shared" si="22"/>
        <v>18</v>
      </c>
      <c r="L495">
        <f t="shared" si="21"/>
        <v>12</v>
      </c>
      <c r="M495" t="str">
        <f t="shared" si="23"/>
        <v>Children and Adolescent</v>
      </c>
    </row>
    <row r="496" spans="1:13" x14ac:dyDescent="0.25">
      <c r="A496" t="s">
        <v>1145</v>
      </c>
      <c r="B496" t="s">
        <v>1146</v>
      </c>
      <c r="C496" s="6">
        <v>28109</v>
      </c>
      <c r="D496" t="s">
        <v>11</v>
      </c>
      <c r="E496" t="s">
        <v>28</v>
      </c>
      <c r="F496" t="s">
        <v>29</v>
      </c>
      <c r="G496" t="s">
        <v>44</v>
      </c>
      <c r="H496" s="6">
        <v>44936</v>
      </c>
      <c r="I496" s="6">
        <v>44949</v>
      </c>
      <c r="J496" s="4">
        <v>27427.05</v>
      </c>
      <c r="K496">
        <f t="shared" si="22"/>
        <v>13</v>
      </c>
      <c r="L496">
        <f t="shared" si="21"/>
        <v>46</v>
      </c>
      <c r="M496" t="str">
        <f t="shared" si="23"/>
        <v>Adults</v>
      </c>
    </row>
    <row r="497" spans="1:13" x14ac:dyDescent="0.25">
      <c r="A497" t="s">
        <v>1147</v>
      </c>
      <c r="B497" t="s">
        <v>1148</v>
      </c>
      <c r="C497" s="6">
        <v>20884</v>
      </c>
      <c r="D497" t="s">
        <v>27</v>
      </c>
      <c r="E497" t="s">
        <v>362</v>
      </c>
      <c r="F497" t="s">
        <v>110</v>
      </c>
      <c r="G497" t="s">
        <v>603</v>
      </c>
      <c r="H497" s="6">
        <v>44936</v>
      </c>
      <c r="I497" s="6">
        <v>44947</v>
      </c>
      <c r="J497" s="4">
        <v>8194.67</v>
      </c>
      <c r="K497">
        <f t="shared" si="22"/>
        <v>11</v>
      </c>
      <c r="L497">
        <f t="shared" si="21"/>
        <v>65</v>
      </c>
      <c r="M497" t="str">
        <f t="shared" si="23"/>
        <v>Older Adults</v>
      </c>
    </row>
    <row r="498" spans="1:13" x14ac:dyDescent="0.25">
      <c r="A498" t="s">
        <v>1149</v>
      </c>
      <c r="B498" t="s">
        <v>1150</v>
      </c>
      <c r="C498" s="6">
        <v>13108</v>
      </c>
      <c r="D498" t="s">
        <v>27</v>
      </c>
      <c r="E498" t="s">
        <v>17</v>
      </c>
      <c r="F498" t="s">
        <v>18</v>
      </c>
      <c r="G498" t="s">
        <v>19</v>
      </c>
      <c r="H498" s="6">
        <v>44937</v>
      </c>
      <c r="I498" s="6">
        <v>44942</v>
      </c>
      <c r="J498" s="4">
        <v>1152.25</v>
      </c>
      <c r="K498">
        <f t="shared" si="22"/>
        <v>5</v>
      </c>
      <c r="L498">
        <f t="shared" si="21"/>
        <v>87</v>
      </c>
      <c r="M498" t="str">
        <f t="shared" si="23"/>
        <v>Older Adults</v>
      </c>
    </row>
    <row r="499" spans="1:13" x14ac:dyDescent="0.25">
      <c r="A499" t="s">
        <v>1151</v>
      </c>
      <c r="B499" t="s">
        <v>1152</v>
      </c>
      <c r="C499" s="6">
        <v>44561</v>
      </c>
      <c r="D499" t="s">
        <v>11</v>
      </c>
      <c r="E499" t="s">
        <v>60</v>
      </c>
      <c r="F499" t="s">
        <v>88</v>
      </c>
      <c r="G499" t="s">
        <v>89</v>
      </c>
      <c r="H499" s="6">
        <v>44939</v>
      </c>
      <c r="I499" s="6">
        <v>44960</v>
      </c>
      <c r="J499" s="4">
        <v>27129.74</v>
      </c>
      <c r="K499">
        <f t="shared" si="22"/>
        <v>21</v>
      </c>
      <c r="L499">
        <f t="shared" si="21"/>
        <v>1</v>
      </c>
      <c r="M499" t="str">
        <f t="shared" si="23"/>
        <v>Early childhood</v>
      </c>
    </row>
    <row r="500" spans="1:13" x14ac:dyDescent="0.25">
      <c r="A500" t="s">
        <v>1153</v>
      </c>
      <c r="B500" t="s">
        <v>1154</v>
      </c>
      <c r="C500" s="6">
        <v>32920</v>
      </c>
      <c r="D500" t="s">
        <v>27</v>
      </c>
      <c r="E500" t="s">
        <v>38</v>
      </c>
      <c r="F500" t="s">
        <v>39</v>
      </c>
      <c r="G500" t="s">
        <v>117</v>
      </c>
      <c r="H500" s="6">
        <v>44939</v>
      </c>
      <c r="I500" s="6">
        <v>44961</v>
      </c>
      <c r="J500" s="4">
        <v>2331.7600000000002</v>
      </c>
      <c r="K500">
        <f t="shared" si="22"/>
        <v>22</v>
      </c>
      <c r="L500">
        <f t="shared" si="21"/>
        <v>32</v>
      </c>
      <c r="M500" t="str">
        <f t="shared" si="23"/>
        <v>Adults</v>
      </c>
    </row>
    <row r="501" spans="1:13" x14ac:dyDescent="0.25">
      <c r="A501" t="s">
        <v>1155</v>
      </c>
      <c r="B501" t="s">
        <v>1156</v>
      </c>
      <c r="C501" s="6">
        <v>24968</v>
      </c>
      <c r="D501" t="s">
        <v>27</v>
      </c>
      <c r="E501" t="s">
        <v>127</v>
      </c>
      <c r="F501" t="s">
        <v>114</v>
      </c>
      <c r="G501" t="s">
        <v>510</v>
      </c>
      <c r="H501" s="6">
        <v>44940</v>
      </c>
      <c r="I501" s="6">
        <v>44946</v>
      </c>
      <c r="J501" s="4">
        <v>2259.73</v>
      </c>
      <c r="K501">
        <f t="shared" si="22"/>
        <v>6</v>
      </c>
      <c r="L501">
        <f t="shared" si="21"/>
        <v>54</v>
      </c>
      <c r="M501" t="str">
        <f t="shared" si="23"/>
        <v>Adults</v>
      </c>
    </row>
    <row r="502" spans="1:13" x14ac:dyDescent="0.25">
      <c r="A502" t="s">
        <v>1157</v>
      </c>
      <c r="B502" t="s">
        <v>1158</v>
      </c>
      <c r="C502" s="6">
        <v>20415</v>
      </c>
      <c r="D502" t="s">
        <v>11</v>
      </c>
      <c r="E502" t="s">
        <v>55</v>
      </c>
      <c r="F502" t="s">
        <v>56</v>
      </c>
      <c r="G502" t="s">
        <v>57</v>
      </c>
      <c r="H502" s="6">
        <v>44941</v>
      </c>
      <c r="I502" s="6">
        <v>44948</v>
      </c>
      <c r="J502" s="4">
        <v>3320.45</v>
      </c>
      <c r="K502">
        <f t="shared" si="22"/>
        <v>7</v>
      </c>
      <c r="L502">
        <f t="shared" si="21"/>
        <v>67</v>
      </c>
      <c r="M502" t="str">
        <f t="shared" si="23"/>
        <v>Older Adults</v>
      </c>
    </row>
    <row r="503" spans="1:13" x14ac:dyDescent="0.25">
      <c r="A503" t="s">
        <v>1159</v>
      </c>
      <c r="B503" t="s">
        <v>1160</v>
      </c>
      <c r="C503" s="6">
        <v>23733</v>
      </c>
      <c r="D503" t="s">
        <v>27</v>
      </c>
      <c r="E503" t="s">
        <v>65</v>
      </c>
      <c r="F503" t="s">
        <v>518</v>
      </c>
      <c r="G503" t="s">
        <v>66</v>
      </c>
      <c r="H503" s="6">
        <v>44941</v>
      </c>
      <c r="I503" s="6">
        <v>44956</v>
      </c>
      <c r="J503" s="4">
        <v>258.75</v>
      </c>
      <c r="K503">
        <f t="shared" si="22"/>
        <v>15</v>
      </c>
      <c r="L503">
        <f t="shared" si="21"/>
        <v>58</v>
      </c>
      <c r="M503" t="str">
        <f t="shared" si="23"/>
        <v>Adults</v>
      </c>
    </row>
    <row r="504" spans="1:13" x14ac:dyDescent="0.25">
      <c r="A504" t="s">
        <v>1161</v>
      </c>
      <c r="B504" t="s">
        <v>1162</v>
      </c>
      <c r="C504" s="6">
        <v>34785</v>
      </c>
      <c r="D504" t="s">
        <v>11</v>
      </c>
      <c r="E504" t="s">
        <v>28</v>
      </c>
      <c r="F504" t="s">
        <v>43</v>
      </c>
      <c r="G504" t="s">
        <v>124</v>
      </c>
      <c r="H504" s="6">
        <v>44942</v>
      </c>
      <c r="I504" s="6">
        <v>44944</v>
      </c>
      <c r="J504" s="4">
        <v>13911.1</v>
      </c>
      <c r="K504">
        <f t="shared" si="22"/>
        <v>2</v>
      </c>
      <c r="L504">
        <f t="shared" si="21"/>
        <v>27</v>
      </c>
      <c r="M504" t="str">
        <f t="shared" si="23"/>
        <v>Adults</v>
      </c>
    </row>
    <row r="505" spans="1:13" x14ac:dyDescent="0.25">
      <c r="A505" t="s">
        <v>1163</v>
      </c>
      <c r="B505" t="s">
        <v>1164</v>
      </c>
      <c r="C505" s="6">
        <v>32033</v>
      </c>
      <c r="D505" t="s">
        <v>27</v>
      </c>
      <c r="E505" t="s">
        <v>28</v>
      </c>
      <c r="F505" t="s">
        <v>29</v>
      </c>
      <c r="G505" t="s">
        <v>30</v>
      </c>
      <c r="H505" s="6">
        <v>44942</v>
      </c>
      <c r="I505" s="6">
        <v>44948</v>
      </c>
      <c r="J505" s="4">
        <v>15077.03</v>
      </c>
      <c r="K505">
        <f t="shared" si="22"/>
        <v>6</v>
      </c>
      <c r="L505">
        <f t="shared" si="21"/>
        <v>35</v>
      </c>
      <c r="M505" t="str">
        <f t="shared" si="23"/>
        <v>Adults</v>
      </c>
    </row>
    <row r="506" spans="1:13" x14ac:dyDescent="0.25">
      <c r="A506" t="s">
        <v>1165</v>
      </c>
      <c r="B506" t="s">
        <v>1166</v>
      </c>
      <c r="C506" s="6">
        <v>35050</v>
      </c>
      <c r="D506" t="s">
        <v>11</v>
      </c>
      <c r="E506" t="s">
        <v>12</v>
      </c>
      <c r="F506" t="s">
        <v>172</v>
      </c>
      <c r="G506" t="s">
        <v>14</v>
      </c>
      <c r="H506" s="6">
        <v>44946</v>
      </c>
      <c r="I506" s="6">
        <v>44967</v>
      </c>
      <c r="J506" s="4">
        <v>16619.25</v>
      </c>
      <c r="K506">
        <f t="shared" si="22"/>
        <v>21</v>
      </c>
      <c r="L506">
        <f t="shared" si="21"/>
        <v>27</v>
      </c>
      <c r="M506" t="str">
        <f t="shared" si="23"/>
        <v>Adults</v>
      </c>
    </row>
    <row r="507" spans="1:13" x14ac:dyDescent="0.25">
      <c r="A507" t="s">
        <v>1167</v>
      </c>
      <c r="B507" t="s">
        <v>1168</v>
      </c>
      <c r="C507" s="6">
        <v>35381</v>
      </c>
      <c r="D507" t="s">
        <v>27</v>
      </c>
      <c r="E507" t="s">
        <v>33</v>
      </c>
      <c r="F507" t="s">
        <v>34</v>
      </c>
      <c r="G507" t="s">
        <v>378</v>
      </c>
      <c r="H507" s="6">
        <v>44946</v>
      </c>
      <c r="I507" s="6">
        <v>44976</v>
      </c>
      <c r="J507" s="4">
        <v>1603.71</v>
      </c>
      <c r="K507">
        <f t="shared" si="22"/>
        <v>30</v>
      </c>
      <c r="L507">
        <f t="shared" si="21"/>
        <v>26</v>
      </c>
      <c r="M507" t="str">
        <f t="shared" si="23"/>
        <v>Adults</v>
      </c>
    </row>
    <row r="508" spans="1:13" x14ac:dyDescent="0.25">
      <c r="A508" t="s">
        <v>1169</v>
      </c>
      <c r="B508" t="s">
        <v>1170</v>
      </c>
      <c r="C508" s="6">
        <v>27268</v>
      </c>
      <c r="D508" t="s">
        <v>27</v>
      </c>
      <c r="E508" t="s">
        <v>65</v>
      </c>
      <c r="F508" t="s">
        <v>23</v>
      </c>
      <c r="G508" t="s">
        <v>346</v>
      </c>
      <c r="H508" s="6">
        <v>44946</v>
      </c>
      <c r="I508" s="6">
        <v>44957</v>
      </c>
      <c r="J508" s="4">
        <v>338.37</v>
      </c>
      <c r="K508">
        <f t="shared" si="22"/>
        <v>11</v>
      </c>
      <c r="L508">
        <f t="shared" si="21"/>
        <v>48</v>
      </c>
      <c r="M508" t="str">
        <f t="shared" si="23"/>
        <v>Adults</v>
      </c>
    </row>
    <row r="509" spans="1:13" x14ac:dyDescent="0.25">
      <c r="A509" t="s">
        <v>1171</v>
      </c>
      <c r="B509" t="s">
        <v>1172</v>
      </c>
      <c r="C509" s="6">
        <v>12192</v>
      </c>
      <c r="D509" t="s">
        <v>27</v>
      </c>
      <c r="E509" t="s">
        <v>97</v>
      </c>
      <c r="F509" t="s">
        <v>98</v>
      </c>
      <c r="G509" t="s">
        <v>221</v>
      </c>
      <c r="H509" s="6">
        <v>44947</v>
      </c>
      <c r="I509" s="6">
        <v>44969</v>
      </c>
      <c r="J509" s="4">
        <v>976.6</v>
      </c>
      <c r="K509">
        <f t="shared" si="22"/>
        <v>22</v>
      </c>
      <c r="L509">
        <f t="shared" si="21"/>
        <v>89</v>
      </c>
      <c r="M509" t="str">
        <f t="shared" si="23"/>
        <v>Older Adults</v>
      </c>
    </row>
    <row r="510" spans="1:13" x14ac:dyDescent="0.25">
      <c r="A510" t="s">
        <v>1173</v>
      </c>
      <c r="B510" t="s">
        <v>1174</v>
      </c>
      <c r="C510" s="6">
        <v>36224</v>
      </c>
      <c r="D510" t="s">
        <v>27</v>
      </c>
      <c r="E510" t="s">
        <v>187</v>
      </c>
      <c r="F510" t="s">
        <v>13</v>
      </c>
      <c r="G510" t="s">
        <v>192</v>
      </c>
      <c r="H510" s="6">
        <v>44948</v>
      </c>
      <c r="I510" s="6">
        <v>44965</v>
      </c>
      <c r="J510" s="4">
        <v>8774.7000000000007</v>
      </c>
      <c r="K510">
        <f t="shared" si="22"/>
        <v>17</v>
      </c>
      <c r="L510">
        <f t="shared" si="21"/>
        <v>23</v>
      </c>
      <c r="M510" t="str">
        <f t="shared" si="23"/>
        <v>Young Adults</v>
      </c>
    </row>
    <row r="511" spans="1:13" x14ac:dyDescent="0.25">
      <c r="A511" t="s">
        <v>1175</v>
      </c>
      <c r="B511" t="s">
        <v>1176</v>
      </c>
      <c r="C511" s="6">
        <v>13355</v>
      </c>
      <c r="D511" t="s">
        <v>11</v>
      </c>
      <c r="E511" t="s">
        <v>80</v>
      </c>
      <c r="F511" t="s">
        <v>29</v>
      </c>
      <c r="G511" t="s">
        <v>81</v>
      </c>
      <c r="H511" s="6">
        <v>44949</v>
      </c>
      <c r="I511" s="6">
        <v>44962</v>
      </c>
      <c r="J511" s="4">
        <v>8849.35</v>
      </c>
      <c r="K511">
        <f t="shared" si="22"/>
        <v>13</v>
      </c>
      <c r="L511">
        <f t="shared" si="21"/>
        <v>86</v>
      </c>
      <c r="M511" t="str">
        <f t="shared" si="23"/>
        <v>Older Adults</v>
      </c>
    </row>
    <row r="512" spans="1:13" x14ac:dyDescent="0.25">
      <c r="A512" t="s">
        <v>1177</v>
      </c>
      <c r="B512" t="s">
        <v>1178</v>
      </c>
      <c r="C512" s="6">
        <v>13020</v>
      </c>
      <c r="D512" t="s">
        <v>27</v>
      </c>
      <c r="E512" t="s">
        <v>152</v>
      </c>
      <c r="F512" t="s">
        <v>13</v>
      </c>
      <c r="G512" t="s">
        <v>214</v>
      </c>
      <c r="H512" s="6">
        <v>44950</v>
      </c>
      <c r="I512" s="6">
        <v>44973</v>
      </c>
      <c r="J512" s="4">
        <v>14836.84</v>
      </c>
      <c r="K512">
        <f t="shared" si="22"/>
        <v>23</v>
      </c>
      <c r="L512">
        <f t="shared" si="21"/>
        <v>87</v>
      </c>
      <c r="M512" t="str">
        <f t="shared" si="23"/>
        <v>Older Adults</v>
      </c>
    </row>
    <row r="513" spans="1:13" x14ac:dyDescent="0.25">
      <c r="A513" t="s">
        <v>1179</v>
      </c>
      <c r="B513" t="s">
        <v>1180</v>
      </c>
      <c r="C513" s="6">
        <v>21377</v>
      </c>
      <c r="D513" t="s">
        <v>11</v>
      </c>
      <c r="E513" t="s">
        <v>47</v>
      </c>
      <c r="F513" t="s">
        <v>340</v>
      </c>
      <c r="G513" t="s">
        <v>341</v>
      </c>
      <c r="H513" s="6">
        <v>44952</v>
      </c>
      <c r="I513" s="6">
        <v>44975</v>
      </c>
      <c r="J513" s="4">
        <v>4075.79</v>
      </c>
      <c r="K513">
        <f t="shared" si="22"/>
        <v>23</v>
      </c>
      <c r="L513">
        <f t="shared" si="21"/>
        <v>64</v>
      </c>
      <c r="M513" t="str">
        <f t="shared" si="23"/>
        <v>Older Adults</v>
      </c>
    </row>
    <row r="514" spans="1:13" x14ac:dyDescent="0.25">
      <c r="A514" t="s">
        <v>1181</v>
      </c>
      <c r="B514" t="s">
        <v>1182</v>
      </c>
      <c r="C514" s="6">
        <v>43262</v>
      </c>
      <c r="D514" t="s">
        <v>27</v>
      </c>
      <c r="E514" t="s">
        <v>17</v>
      </c>
      <c r="F514" t="s">
        <v>34</v>
      </c>
      <c r="G514" t="s">
        <v>135</v>
      </c>
      <c r="H514" s="6">
        <v>44954</v>
      </c>
      <c r="I514" s="6">
        <v>44959</v>
      </c>
      <c r="J514" s="4">
        <v>1568.33</v>
      </c>
      <c r="K514">
        <f t="shared" si="22"/>
        <v>5</v>
      </c>
      <c r="L514">
        <f t="shared" ref="L514:L577" si="24">IF(C514&gt;H514,"Invalid DOB",DATEDIF(C514,H514,"Y"))</f>
        <v>4</v>
      </c>
      <c r="M514" t="str">
        <f t="shared" si="23"/>
        <v>Early childhood</v>
      </c>
    </row>
    <row r="515" spans="1:13" x14ac:dyDescent="0.25">
      <c r="A515" s="1" t="s">
        <v>1183</v>
      </c>
      <c r="B515" t="s">
        <v>1184</v>
      </c>
      <c r="C515" s="6">
        <v>11601</v>
      </c>
      <c r="D515" t="s">
        <v>11</v>
      </c>
      <c r="E515" t="s">
        <v>92</v>
      </c>
      <c r="F515" t="s">
        <v>93</v>
      </c>
      <c r="G515" t="s">
        <v>421</v>
      </c>
      <c r="H515" s="6">
        <v>44957</v>
      </c>
      <c r="I515" s="6">
        <v>44960</v>
      </c>
      <c r="J515" s="4">
        <v>931.71</v>
      </c>
      <c r="K515">
        <f t="shared" ref="K515:K578" si="25">I515-H515</f>
        <v>3</v>
      </c>
      <c r="L515">
        <f t="shared" si="24"/>
        <v>91</v>
      </c>
      <c r="M515" t="str">
        <f t="shared" ref="M515:M578" si="26">IF(L515="Invalid DOB","Invalid DOB",IF(L515&lt;=4,"Early childhood",IF(L515&lt;=17,"Children and Adolescent",IF(L515&lt;=24,"Young Adults",IF(L515&lt;=59,"Adults","Older Adults")))))</f>
        <v>Older Adults</v>
      </c>
    </row>
    <row r="516" spans="1:13" x14ac:dyDescent="0.25">
      <c r="A516" s="1" t="s">
        <v>1185</v>
      </c>
      <c r="B516" t="s">
        <v>1186</v>
      </c>
      <c r="C516" s="6">
        <v>43843</v>
      </c>
      <c r="D516" t="s">
        <v>11</v>
      </c>
      <c r="E516" t="s">
        <v>142</v>
      </c>
      <c r="F516" t="s">
        <v>110</v>
      </c>
      <c r="G516" t="s">
        <v>285</v>
      </c>
      <c r="H516" s="6">
        <v>44957</v>
      </c>
      <c r="I516" s="6">
        <v>44977</v>
      </c>
      <c r="J516" s="4">
        <v>921.94</v>
      </c>
      <c r="K516">
        <f t="shared" si="25"/>
        <v>20</v>
      </c>
      <c r="L516">
        <f t="shared" si="24"/>
        <v>3</v>
      </c>
      <c r="M516" t="str">
        <f t="shared" si="26"/>
        <v>Early childhood</v>
      </c>
    </row>
    <row r="517" spans="1:13" x14ac:dyDescent="0.25">
      <c r="A517" t="s">
        <v>1187</v>
      </c>
      <c r="B517" t="s">
        <v>1188</v>
      </c>
      <c r="C517" s="6">
        <v>32733</v>
      </c>
      <c r="D517" t="s">
        <v>11</v>
      </c>
      <c r="E517" t="s">
        <v>38</v>
      </c>
      <c r="F517" t="s">
        <v>39</v>
      </c>
      <c r="G517" t="s">
        <v>40</v>
      </c>
      <c r="H517" s="6">
        <v>44958</v>
      </c>
      <c r="I517" s="6">
        <v>44987</v>
      </c>
      <c r="J517" s="4">
        <v>2870.48</v>
      </c>
      <c r="K517">
        <f t="shared" si="25"/>
        <v>29</v>
      </c>
      <c r="L517">
        <f t="shared" si="24"/>
        <v>33</v>
      </c>
      <c r="M517" t="str">
        <f t="shared" si="26"/>
        <v>Adults</v>
      </c>
    </row>
    <row r="518" spans="1:13" x14ac:dyDescent="0.25">
      <c r="A518" t="s">
        <v>1189</v>
      </c>
      <c r="B518" t="s">
        <v>1190</v>
      </c>
      <c r="C518" s="6">
        <v>14995</v>
      </c>
      <c r="D518" t="s">
        <v>27</v>
      </c>
      <c r="E518" t="s">
        <v>84</v>
      </c>
      <c r="F518" t="s">
        <v>85</v>
      </c>
      <c r="G518" t="s">
        <v>238</v>
      </c>
      <c r="H518" s="6">
        <v>44958</v>
      </c>
      <c r="I518" s="6">
        <v>44985</v>
      </c>
      <c r="J518" s="4">
        <v>1662.39</v>
      </c>
      <c r="K518">
        <f t="shared" si="25"/>
        <v>27</v>
      </c>
      <c r="L518">
        <f t="shared" si="24"/>
        <v>82</v>
      </c>
      <c r="M518" t="str">
        <f t="shared" si="26"/>
        <v>Older Adults</v>
      </c>
    </row>
    <row r="519" spans="1:13" x14ac:dyDescent="0.25">
      <c r="A519" t="s">
        <v>1191</v>
      </c>
      <c r="B519" t="s">
        <v>1192</v>
      </c>
      <c r="C519" s="6">
        <v>30852</v>
      </c>
      <c r="D519" t="s">
        <v>27</v>
      </c>
      <c r="E519" t="s">
        <v>47</v>
      </c>
      <c r="F519" t="s">
        <v>29</v>
      </c>
      <c r="G519" t="s">
        <v>341</v>
      </c>
      <c r="H519" s="6">
        <v>44960</v>
      </c>
      <c r="I519" s="6">
        <v>44980</v>
      </c>
      <c r="J519" s="4">
        <v>7205.8</v>
      </c>
      <c r="K519">
        <f t="shared" si="25"/>
        <v>20</v>
      </c>
      <c r="L519">
        <f t="shared" si="24"/>
        <v>38</v>
      </c>
      <c r="M519" t="str">
        <f t="shared" si="26"/>
        <v>Adults</v>
      </c>
    </row>
    <row r="520" spans="1:13" x14ac:dyDescent="0.25">
      <c r="A520" t="s">
        <v>1193</v>
      </c>
      <c r="B520" t="s">
        <v>1194</v>
      </c>
      <c r="C520" s="6">
        <v>30220</v>
      </c>
      <c r="D520" t="s">
        <v>11</v>
      </c>
      <c r="E520" t="s">
        <v>47</v>
      </c>
      <c r="F520" t="s">
        <v>340</v>
      </c>
      <c r="G520" t="s">
        <v>243</v>
      </c>
      <c r="H520" s="6">
        <v>44962</v>
      </c>
      <c r="I520" s="6">
        <v>44965</v>
      </c>
      <c r="J520" s="4">
        <v>5623.5</v>
      </c>
      <c r="K520">
        <f t="shared" si="25"/>
        <v>3</v>
      </c>
      <c r="L520">
        <f t="shared" si="24"/>
        <v>40</v>
      </c>
      <c r="M520" t="str">
        <f t="shared" si="26"/>
        <v>Adults</v>
      </c>
    </row>
    <row r="521" spans="1:13" x14ac:dyDescent="0.25">
      <c r="A521" t="s">
        <v>1195</v>
      </c>
      <c r="B521" t="s">
        <v>1196</v>
      </c>
      <c r="C521" s="6">
        <v>24458</v>
      </c>
      <c r="D521" t="s">
        <v>27</v>
      </c>
      <c r="E521" t="s">
        <v>152</v>
      </c>
      <c r="F521" t="s">
        <v>13</v>
      </c>
      <c r="G521" t="s">
        <v>195</v>
      </c>
      <c r="H521" s="6">
        <v>44963</v>
      </c>
      <c r="I521" s="6">
        <v>44984</v>
      </c>
      <c r="J521" s="4">
        <v>17498.04</v>
      </c>
      <c r="K521">
        <f t="shared" si="25"/>
        <v>21</v>
      </c>
      <c r="L521">
        <f t="shared" si="24"/>
        <v>56</v>
      </c>
      <c r="M521" t="str">
        <f t="shared" si="26"/>
        <v>Adults</v>
      </c>
    </row>
    <row r="522" spans="1:13" x14ac:dyDescent="0.25">
      <c r="A522" t="s">
        <v>1197</v>
      </c>
      <c r="B522" t="s">
        <v>1198</v>
      </c>
      <c r="C522" s="6">
        <v>17249</v>
      </c>
      <c r="D522" t="s">
        <v>27</v>
      </c>
      <c r="E522" t="s">
        <v>80</v>
      </c>
      <c r="F522" t="s">
        <v>13</v>
      </c>
      <c r="G522" t="s">
        <v>444</v>
      </c>
      <c r="H522" s="6">
        <v>44964</v>
      </c>
      <c r="I522" s="6">
        <v>44981</v>
      </c>
      <c r="J522" s="4">
        <v>14921.84</v>
      </c>
      <c r="K522">
        <f t="shared" si="25"/>
        <v>17</v>
      </c>
      <c r="L522">
        <f t="shared" si="24"/>
        <v>75</v>
      </c>
      <c r="M522" t="str">
        <f t="shared" si="26"/>
        <v>Older Adults</v>
      </c>
    </row>
    <row r="523" spans="1:13" x14ac:dyDescent="0.25">
      <c r="A523" t="s">
        <v>1199</v>
      </c>
      <c r="B523" t="s">
        <v>1200</v>
      </c>
      <c r="C523" s="6">
        <v>34574</v>
      </c>
      <c r="D523" t="s">
        <v>11</v>
      </c>
      <c r="E523" t="s">
        <v>271</v>
      </c>
      <c r="F523" t="s">
        <v>272</v>
      </c>
      <c r="G523" t="s">
        <v>385</v>
      </c>
      <c r="H523" s="6">
        <v>44964</v>
      </c>
      <c r="I523" s="6">
        <v>44991</v>
      </c>
      <c r="J523" s="4">
        <v>408.8</v>
      </c>
      <c r="K523">
        <f t="shared" si="25"/>
        <v>27</v>
      </c>
      <c r="L523">
        <f t="shared" si="24"/>
        <v>28</v>
      </c>
      <c r="M523" t="str">
        <f t="shared" si="26"/>
        <v>Adults</v>
      </c>
    </row>
    <row r="524" spans="1:13" x14ac:dyDescent="0.25">
      <c r="A524" t="s">
        <v>1201</v>
      </c>
      <c r="B524" t="s">
        <v>1202</v>
      </c>
      <c r="C524" s="6">
        <v>17451</v>
      </c>
      <c r="D524" t="s">
        <v>27</v>
      </c>
      <c r="E524" t="s">
        <v>142</v>
      </c>
      <c r="F524" t="s">
        <v>114</v>
      </c>
      <c r="G524" t="s">
        <v>143</v>
      </c>
      <c r="H524" s="6">
        <v>44965</v>
      </c>
      <c r="I524" s="6">
        <v>44994</v>
      </c>
      <c r="J524" s="4">
        <v>639.29999999999995</v>
      </c>
      <c r="K524">
        <f t="shared" si="25"/>
        <v>29</v>
      </c>
      <c r="L524">
        <f t="shared" si="24"/>
        <v>75</v>
      </c>
      <c r="M524" t="str">
        <f t="shared" si="26"/>
        <v>Older Adults</v>
      </c>
    </row>
    <row r="525" spans="1:13" x14ac:dyDescent="0.25">
      <c r="A525" t="s">
        <v>1203</v>
      </c>
      <c r="B525" t="s">
        <v>1204</v>
      </c>
      <c r="C525" s="6">
        <v>35430</v>
      </c>
      <c r="D525" t="s">
        <v>11</v>
      </c>
      <c r="E525" t="s">
        <v>142</v>
      </c>
      <c r="F525" t="s">
        <v>114</v>
      </c>
      <c r="G525" t="s">
        <v>285</v>
      </c>
      <c r="H525" s="6">
        <v>44965</v>
      </c>
      <c r="I525" s="6">
        <v>44973</v>
      </c>
      <c r="J525" s="4">
        <v>2918.7</v>
      </c>
      <c r="K525">
        <f t="shared" si="25"/>
        <v>8</v>
      </c>
      <c r="L525">
        <f t="shared" si="24"/>
        <v>26</v>
      </c>
      <c r="M525" t="str">
        <f t="shared" si="26"/>
        <v>Adults</v>
      </c>
    </row>
    <row r="526" spans="1:13" x14ac:dyDescent="0.25">
      <c r="A526" t="s">
        <v>1205</v>
      </c>
      <c r="B526" t="s">
        <v>1206</v>
      </c>
      <c r="C526" s="6">
        <v>20832</v>
      </c>
      <c r="D526" t="s">
        <v>11</v>
      </c>
      <c r="E526" t="s">
        <v>281</v>
      </c>
      <c r="F526" t="s">
        <v>188</v>
      </c>
      <c r="G526" t="s">
        <v>437</v>
      </c>
      <c r="H526" s="6">
        <v>44966</v>
      </c>
      <c r="I526" s="6">
        <v>44989</v>
      </c>
      <c r="J526" s="4">
        <v>41916.629999999997</v>
      </c>
      <c r="K526">
        <f t="shared" si="25"/>
        <v>23</v>
      </c>
      <c r="L526">
        <f t="shared" si="24"/>
        <v>66</v>
      </c>
      <c r="M526" t="str">
        <f t="shared" si="26"/>
        <v>Older Adults</v>
      </c>
    </row>
    <row r="527" spans="1:13" x14ac:dyDescent="0.25">
      <c r="A527" t="s">
        <v>1207</v>
      </c>
      <c r="B527" t="s">
        <v>1208</v>
      </c>
      <c r="C527" s="6">
        <v>21017</v>
      </c>
      <c r="D527" t="s">
        <v>11</v>
      </c>
      <c r="E527" t="s">
        <v>142</v>
      </c>
      <c r="F527" t="s">
        <v>110</v>
      </c>
      <c r="G527" t="s">
        <v>285</v>
      </c>
      <c r="H527" s="6">
        <v>44966</v>
      </c>
      <c r="I527" s="6">
        <v>44975</v>
      </c>
      <c r="J527" s="4">
        <v>1406.65</v>
      </c>
      <c r="K527">
        <f t="shared" si="25"/>
        <v>9</v>
      </c>
      <c r="L527">
        <f t="shared" si="24"/>
        <v>65</v>
      </c>
      <c r="M527" t="str">
        <f t="shared" si="26"/>
        <v>Older Adults</v>
      </c>
    </row>
    <row r="528" spans="1:13" x14ac:dyDescent="0.25">
      <c r="A528" t="s">
        <v>1209</v>
      </c>
      <c r="B528" t="s">
        <v>1210</v>
      </c>
      <c r="C528" s="6">
        <v>15603</v>
      </c>
      <c r="D528" t="s">
        <v>11</v>
      </c>
      <c r="E528" t="s">
        <v>142</v>
      </c>
      <c r="F528" t="s">
        <v>110</v>
      </c>
      <c r="G528" t="s">
        <v>285</v>
      </c>
      <c r="H528" s="6">
        <v>44967</v>
      </c>
      <c r="I528" s="6">
        <v>44971</v>
      </c>
      <c r="J528" s="4">
        <v>1834.53</v>
      </c>
      <c r="K528">
        <f t="shared" si="25"/>
        <v>4</v>
      </c>
      <c r="L528">
        <f t="shared" si="24"/>
        <v>80</v>
      </c>
      <c r="M528" t="str">
        <f t="shared" si="26"/>
        <v>Older Adults</v>
      </c>
    </row>
    <row r="529" spans="1:13" x14ac:dyDescent="0.25">
      <c r="A529" t="s">
        <v>1211</v>
      </c>
      <c r="B529" t="s">
        <v>1212</v>
      </c>
      <c r="C529" s="6">
        <v>10072</v>
      </c>
      <c r="D529" t="s">
        <v>11</v>
      </c>
      <c r="E529" t="s">
        <v>362</v>
      </c>
      <c r="F529" t="s">
        <v>172</v>
      </c>
      <c r="G529" t="s">
        <v>603</v>
      </c>
      <c r="H529" s="6">
        <v>44967</v>
      </c>
      <c r="I529" s="6">
        <v>44992</v>
      </c>
      <c r="J529" s="4">
        <v>14290.38</v>
      </c>
      <c r="K529">
        <f t="shared" si="25"/>
        <v>25</v>
      </c>
      <c r="L529">
        <f t="shared" si="24"/>
        <v>95</v>
      </c>
      <c r="M529" t="str">
        <f t="shared" si="26"/>
        <v>Older Adults</v>
      </c>
    </row>
    <row r="530" spans="1:13" x14ac:dyDescent="0.25">
      <c r="A530" t="s">
        <v>1213</v>
      </c>
      <c r="B530" t="s">
        <v>1214</v>
      </c>
      <c r="C530" s="6">
        <v>33176</v>
      </c>
      <c r="D530" t="s">
        <v>27</v>
      </c>
      <c r="E530" t="s">
        <v>47</v>
      </c>
      <c r="F530" t="s">
        <v>29</v>
      </c>
      <c r="G530" t="s">
        <v>243</v>
      </c>
      <c r="H530" s="6">
        <v>44967</v>
      </c>
      <c r="I530" s="6">
        <v>44997</v>
      </c>
      <c r="J530" s="4">
        <v>7887.11</v>
      </c>
      <c r="K530">
        <f t="shared" si="25"/>
        <v>30</v>
      </c>
      <c r="L530">
        <f t="shared" si="24"/>
        <v>32</v>
      </c>
      <c r="M530" t="str">
        <f t="shared" si="26"/>
        <v>Adults</v>
      </c>
    </row>
    <row r="531" spans="1:13" x14ac:dyDescent="0.25">
      <c r="A531" t="s">
        <v>1215</v>
      </c>
      <c r="B531" t="s">
        <v>1216</v>
      </c>
      <c r="C531" s="6">
        <v>36360</v>
      </c>
      <c r="D531" t="s">
        <v>11</v>
      </c>
      <c r="E531" t="s">
        <v>17</v>
      </c>
      <c r="F531" t="s">
        <v>18</v>
      </c>
      <c r="G531" t="s">
        <v>135</v>
      </c>
      <c r="H531" s="6">
        <v>44968</v>
      </c>
      <c r="I531" s="6">
        <v>44970</v>
      </c>
      <c r="J531" s="4">
        <v>2618.13</v>
      </c>
      <c r="K531">
        <f t="shared" si="25"/>
        <v>2</v>
      </c>
      <c r="L531">
        <f t="shared" si="24"/>
        <v>23</v>
      </c>
      <c r="M531" t="str">
        <f t="shared" si="26"/>
        <v>Young Adults</v>
      </c>
    </row>
    <row r="532" spans="1:13" x14ac:dyDescent="0.25">
      <c r="A532" s="1" t="s">
        <v>1217</v>
      </c>
      <c r="B532" t="s">
        <v>1218</v>
      </c>
      <c r="C532" s="6">
        <v>9067</v>
      </c>
      <c r="D532" t="s">
        <v>27</v>
      </c>
      <c r="E532" t="s">
        <v>22</v>
      </c>
      <c r="F532" t="s">
        <v>110</v>
      </c>
      <c r="G532" t="s">
        <v>111</v>
      </c>
      <c r="H532" s="6">
        <v>44969</v>
      </c>
      <c r="I532" s="6">
        <v>44981</v>
      </c>
      <c r="J532" s="4">
        <v>1568.38</v>
      </c>
      <c r="K532">
        <f t="shared" si="25"/>
        <v>12</v>
      </c>
      <c r="L532">
        <f t="shared" si="24"/>
        <v>98</v>
      </c>
      <c r="M532" t="str">
        <f t="shared" si="26"/>
        <v>Older Adults</v>
      </c>
    </row>
    <row r="533" spans="1:13" x14ac:dyDescent="0.25">
      <c r="A533" t="s">
        <v>1219</v>
      </c>
      <c r="B533" t="s">
        <v>1220</v>
      </c>
      <c r="C533" s="6">
        <v>38170</v>
      </c>
      <c r="D533" t="s">
        <v>11</v>
      </c>
      <c r="E533" t="s">
        <v>120</v>
      </c>
      <c r="F533" t="s">
        <v>23</v>
      </c>
      <c r="G533" t="s">
        <v>121</v>
      </c>
      <c r="H533" s="6">
        <v>44969</v>
      </c>
      <c r="I533" s="6">
        <v>44977</v>
      </c>
      <c r="J533" s="4">
        <v>2620.6799999999998</v>
      </c>
      <c r="K533">
        <f t="shared" si="25"/>
        <v>8</v>
      </c>
      <c r="L533">
        <f t="shared" si="24"/>
        <v>18</v>
      </c>
      <c r="M533" t="str">
        <f t="shared" si="26"/>
        <v>Young Adults</v>
      </c>
    </row>
    <row r="534" spans="1:13" x14ac:dyDescent="0.25">
      <c r="A534" t="s">
        <v>1221</v>
      </c>
      <c r="B534" t="s">
        <v>1222</v>
      </c>
      <c r="C534" s="6">
        <v>30287</v>
      </c>
      <c r="D534" t="s">
        <v>27</v>
      </c>
      <c r="E534" t="s">
        <v>120</v>
      </c>
      <c r="F534" t="s">
        <v>114</v>
      </c>
      <c r="G534" t="s">
        <v>121</v>
      </c>
      <c r="H534" s="6">
        <v>44970</v>
      </c>
      <c r="I534" s="6">
        <v>44995</v>
      </c>
      <c r="J534" s="4">
        <v>1628.87</v>
      </c>
      <c r="K534">
        <f t="shared" si="25"/>
        <v>25</v>
      </c>
      <c r="L534">
        <f t="shared" si="24"/>
        <v>40</v>
      </c>
      <c r="M534" t="str">
        <f t="shared" si="26"/>
        <v>Adults</v>
      </c>
    </row>
    <row r="535" spans="1:13" x14ac:dyDescent="0.25">
      <c r="A535" t="s">
        <v>1223</v>
      </c>
      <c r="B535" t="s">
        <v>1224</v>
      </c>
      <c r="C535" s="6">
        <v>36116</v>
      </c>
      <c r="D535" t="s">
        <v>11</v>
      </c>
      <c r="E535" t="s">
        <v>120</v>
      </c>
      <c r="F535" t="s">
        <v>103</v>
      </c>
      <c r="G535" t="s">
        <v>306</v>
      </c>
      <c r="H535" s="6">
        <v>44970</v>
      </c>
      <c r="I535" s="6">
        <v>44988</v>
      </c>
      <c r="J535" s="4">
        <v>1782.6</v>
      </c>
      <c r="K535">
        <f t="shared" si="25"/>
        <v>18</v>
      </c>
      <c r="L535">
        <f t="shared" si="24"/>
        <v>24</v>
      </c>
      <c r="M535" t="str">
        <f t="shared" si="26"/>
        <v>Young Adults</v>
      </c>
    </row>
    <row r="536" spans="1:13" x14ac:dyDescent="0.25">
      <c r="A536" t="s">
        <v>1225</v>
      </c>
      <c r="B536" t="s">
        <v>1226</v>
      </c>
      <c r="C536" s="6">
        <v>33161</v>
      </c>
      <c r="D536" t="s">
        <v>27</v>
      </c>
      <c r="E536" t="s">
        <v>51</v>
      </c>
      <c r="F536" t="s">
        <v>29</v>
      </c>
      <c r="G536" t="s">
        <v>662</v>
      </c>
      <c r="H536" s="6">
        <v>44970</v>
      </c>
      <c r="I536" s="6">
        <v>44979</v>
      </c>
      <c r="J536" s="4">
        <v>5774.94</v>
      </c>
      <c r="K536">
        <f t="shared" si="25"/>
        <v>9</v>
      </c>
      <c r="L536">
        <f t="shared" si="24"/>
        <v>32</v>
      </c>
      <c r="M536" t="str">
        <f t="shared" si="26"/>
        <v>Adults</v>
      </c>
    </row>
    <row r="537" spans="1:13" x14ac:dyDescent="0.25">
      <c r="A537" t="s">
        <v>1227</v>
      </c>
      <c r="B537" t="s">
        <v>1228</v>
      </c>
      <c r="C537" s="6">
        <v>21780</v>
      </c>
      <c r="D537" t="s">
        <v>27</v>
      </c>
      <c r="E537" t="s">
        <v>281</v>
      </c>
      <c r="F537" t="s">
        <v>13</v>
      </c>
      <c r="G537" t="s">
        <v>282</v>
      </c>
      <c r="H537" s="6">
        <v>44973</v>
      </c>
      <c r="I537" s="6">
        <v>44978</v>
      </c>
      <c r="J537" s="4">
        <v>13585.8</v>
      </c>
      <c r="K537">
        <f t="shared" si="25"/>
        <v>5</v>
      </c>
      <c r="L537">
        <f t="shared" si="24"/>
        <v>63</v>
      </c>
      <c r="M537" t="str">
        <f t="shared" si="26"/>
        <v>Older Adults</v>
      </c>
    </row>
    <row r="538" spans="1:13" x14ac:dyDescent="0.25">
      <c r="A538" t="s">
        <v>1229</v>
      </c>
      <c r="B538" t="s">
        <v>1230</v>
      </c>
      <c r="C538" s="6">
        <v>17460</v>
      </c>
      <c r="D538" t="s">
        <v>27</v>
      </c>
      <c r="E538" t="s">
        <v>362</v>
      </c>
      <c r="F538" t="s">
        <v>110</v>
      </c>
      <c r="G538" t="s">
        <v>363</v>
      </c>
      <c r="H538" s="6">
        <v>44974</v>
      </c>
      <c r="I538" s="6">
        <v>45002</v>
      </c>
      <c r="J538" s="4">
        <v>19406.72</v>
      </c>
      <c r="K538">
        <f t="shared" si="25"/>
        <v>28</v>
      </c>
      <c r="L538">
        <f t="shared" si="24"/>
        <v>75</v>
      </c>
      <c r="M538" t="str">
        <f t="shared" si="26"/>
        <v>Older Adults</v>
      </c>
    </row>
    <row r="539" spans="1:13" x14ac:dyDescent="0.25">
      <c r="A539" t="s">
        <v>1231</v>
      </c>
      <c r="B539" t="s">
        <v>1232</v>
      </c>
      <c r="C539" s="6">
        <v>17567</v>
      </c>
      <c r="D539" t="s">
        <v>27</v>
      </c>
      <c r="E539" t="s">
        <v>72</v>
      </c>
      <c r="F539" t="s">
        <v>34</v>
      </c>
      <c r="G539" t="s">
        <v>331</v>
      </c>
      <c r="H539" s="6">
        <v>44974</v>
      </c>
      <c r="I539" s="6">
        <v>44978</v>
      </c>
      <c r="J539" s="4">
        <v>4960.79</v>
      </c>
      <c r="K539">
        <f t="shared" si="25"/>
        <v>4</v>
      </c>
      <c r="L539">
        <f t="shared" si="24"/>
        <v>75</v>
      </c>
      <c r="M539" t="str">
        <f t="shared" si="26"/>
        <v>Older Adults</v>
      </c>
    </row>
    <row r="540" spans="1:13" x14ac:dyDescent="0.25">
      <c r="A540" t="s">
        <v>1233</v>
      </c>
      <c r="B540" t="s">
        <v>1234</v>
      </c>
      <c r="C540" s="6">
        <v>20059</v>
      </c>
      <c r="D540" t="s">
        <v>27</v>
      </c>
      <c r="E540" t="s">
        <v>102</v>
      </c>
      <c r="F540" t="s">
        <v>103</v>
      </c>
      <c r="G540" t="s">
        <v>529</v>
      </c>
      <c r="H540" s="6">
        <v>44976</v>
      </c>
      <c r="I540" s="6">
        <v>45005</v>
      </c>
      <c r="J540" s="4">
        <v>14389.28</v>
      </c>
      <c r="K540">
        <f t="shared" si="25"/>
        <v>29</v>
      </c>
      <c r="L540">
        <f t="shared" si="24"/>
        <v>68</v>
      </c>
      <c r="M540" t="str">
        <f t="shared" si="26"/>
        <v>Older Adults</v>
      </c>
    </row>
    <row r="541" spans="1:13" x14ac:dyDescent="0.25">
      <c r="A541" t="s">
        <v>1235</v>
      </c>
      <c r="B541" t="s">
        <v>1236</v>
      </c>
      <c r="C541" s="6">
        <v>29620</v>
      </c>
      <c r="D541" t="s">
        <v>27</v>
      </c>
      <c r="E541" t="s">
        <v>17</v>
      </c>
      <c r="F541" t="s">
        <v>18</v>
      </c>
      <c r="G541" t="s">
        <v>19</v>
      </c>
      <c r="H541" s="6">
        <v>44976</v>
      </c>
      <c r="I541" s="6">
        <v>45002</v>
      </c>
      <c r="J541" s="4">
        <v>1961.96</v>
      </c>
      <c r="K541">
        <f t="shared" si="25"/>
        <v>26</v>
      </c>
      <c r="L541">
        <f t="shared" si="24"/>
        <v>42</v>
      </c>
      <c r="M541" t="str">
        <f t="shared" si="26"/>
        <v>Adults</v>
      </c>
    </row>
    <row r="542" spans="1:13" x14ac:dyDescent="0.25">
      <c r="A542" t="s">
        <v>1237</v>
      </c>
      <c r="B542" t="s">
        <v>1238</v>
      </c>
      <c r="C542" s="6">
        <v>10016</v>
      </c>
      <c r="D542" t="s">
        <v>27</v>
      </c>
      <c r="E542" t="s">
        <v>51</v>
      </c>
      <c r="F542" t="s">
        <v>13</v>
      </c>
      <c r="G542" t="s">
        <v>662</v>
      </c>
      <c r="H542" s="6">
        <v>44977</v>
      </c>
      <c r="I542" s="6">
        <v>44993</v>
      </c>
      <c r="J542" s="4">
        <v>7908.29</v>
      </c>
      <c r="K542">
        <f t="shared" si="25"/>
        <v>16</v>
      </c>
      <c r="L542">
        <f t="shared" si="24"/>
        <v>95</v>
      </c>
      <c r="M542" t="str">
        <f t="shared" si="26"/>
        <v>Older Adults</v>
      </c>
    </row>
    <row r="543" spans="1:13" x14ac:dyDescent="0.25">
      <c r="A543" t="s">
        <v>1239</v>
      </c>
      <c r="B543" t="s">
        <v>1240</v>
      </c>
      <c r="C543" s="6">
        <v>33907</v>
      </c>
      <c r="D543" t="s">
        <v>11</v>
      </c>
      <c r="E543" t="s">
        <v>47</v>
      </c>
      <c r="F543" t="s">
        <v>340</v>
      </c>
      <c r="G543" t="s">
        <v>341</v>
      </c>
      <c r="H543" s="6">
        <v>44978</v>
      </c>
      <c r="I543" s="6">
        <v>45000</v>
      </c>
      <c r="J543" s="4">
        <v>6070.87</v>
      </c>
      <c r="K543">
        <f t="shared" si="25"/>
        <v>22</v>
      </c>
      <c r="L543">
        <f t="shared" si="24"/>
        <v>30</v>
      </c>
      <c r="M543" t="str">
        <f t="shared" si="26"/>
        <v>Adults</v>
      </c>
    </row>
    <row r="544" spans="1:13" x14ac:dyDescent="0.25">
      <c r="A544" t="s">
        <v>1241</v>
      </c>
      <c r="B544" t="s">
        <v>1242</v>
      </c>
      <c r="C544" s="6">
        <v>23915</v>
      </c>
      <c r="D544" t="s">
        <v>11</v>
      </c>
      <c r="E544" t="s">
        <v>178</v>
      </c>
      <c r="F544" t="s">
        <v>433</v>
      </c>
      <c r="G544" t="s">
        <v>434</v>
      </c>
      <c r="H544" s="6">
        <v>44979</v>
      </c>
      <c r="I544" s="6">
        <v>44980</v>
      </c>
      <c r="J544" s="4">
        <v>1991.11</v>
      </c>
      <c r="K544">
        <f t="shared" si="25"/>
        <v>1</v>
      </c>
      <c r="L544">
        <f t="shared" si="24"/>
        <v>57</v>
      </c>
      <c r="M544" t="str">
        <f t="shared" si="26"/>
        <v>Adults</v>
      </c>
    </row>
    <row r="545" spans="1:13" x14ac:dyDescent="0.25">
      <c r="A545" t="s">
        <v>1243</v>
      </c>
      <c r="B545" t="s">
        <v>1244</v>
      </c>
      <c r="C545" s="6">
        <v>28425</v>
      </c>
      <c r="D545" t="s">
        <v>27</v>
      </c>
      <c r="E545" t="s">
        <v>22</v>
      </c>
      <c r="F545" t="s">
        <v>23</v>
      </c>
      <c r="G545" t="s">
        <v>107</v>
      </c>
      <c r="H545" s="6">
        <v>44980</v>
      </c>
      <c r="I545" s="6">
        <v>45009</v>
      </c>
      <c r="J545" s="4">
        <v>2280.89</v>
      </c>
      <c r="K545">
        <f t="shared" si="25"/>
        <v>29</v>
      </c>
      <c r="L545">
        <f t="shared" si="24"/>
        <v>45</v>
      </c>
      <c r="M545" t="str">
        <f t="shared" si="26"/>
        <v>Adults</v>
      </c>
    </row>
    <row r="546" spans="1:13" x14ac:dyDescent="0.25">
      <c r="A546" t="s">
        <v>1245</v>
      </c>
      <c r="B546" t="s">
        <v>1246</v>
      </c>
      <c r="C546" s="6">
        <v>40804</v>
      </c>
      <c r="D546" t="s">
        <v>11</v>
      </c>
      <c r="E546" t="s">
        <v>178</v>
      </c>
      <c r="F546" t="s">
        <v>182</v>
      </c>
      <c r="G546" t="s">
        <v>545</v>
      </c>
      <c r="H546" s="6">
        <v>44982</v>
      </c>
      <c r="I546" s="6">
        <v>44992</v>
      </c>
      <c r="J546" s="4">
        <v>868.22</v>
      </c>
      <c r="K546">
        <f t="shared" si="25"/>
        <v>10</v>
      </c>
      <c r="L546">
        <f t="shared" si="24"/>
        <v>11</v>
      </c>
      <c r="M546" t="str">
        <f t="shared" si="26"/>
        <v>Children and Adolescent</v>
      </c>
    </row>
    <row r="547" spans="1:13" x14ac:dyDescent="0.25">
      <c r="A547" t="s">
        <v>1247</v>
      </c>
      <c r="B547" t="s">
        <v>1248</v>
      </c>
      <c r="C547" s="6">
        <v>35682</v>
      </c>
      <c r="D547" t="s">
        <v>11</v>
      </c>
      <c r="E547" t="s">
        <v>17</v>
      </c>
      <c r="F547" t="s">
        <v>18</v>
      </c>
      <c r="G547" t="s">
        <v>318</v>
      </c>
      <c r="H547" s="6">
        <v>44983</v>
      </c>
      <c r="I547" s="6">
        <v>44993</v>
      </c>
      <c r="J547" s="4">
        <v>1442.3</v>
      </c>
      <c r="K547">
        <f t="shared" si="25"/>
        <v>10</v>
      </c>
      <c r="L547">
        <f t="shared" si="24"/>
        <v>25</v>
      </c>
      <c r="M547" t="str">
        <f t="shared" si="26"/>
        <v>Adults</v>
      </c>
    </row>
    <row r="548" spans="1:13" x14ac:dyDescent="0.25">
      <c r="A548" t="s">
        <v>1249</v>
      </c>
      <c r="B548" t="s">
        <v>1250</v>
      </c>
      <c r="C548" s="6">
        <v>32372</v>
      </c>
      <c r="D548" t="s">
        <v>27</v>
      </c>
      <c r="E548" t="s">
        <v>55</v>
      </c>
      <c r="F548" t="s">
        <v>56</v>
      </c>
      <c r="G548" t="s">
        <v>218</v>
      </c>
      <c r="H548" s="6">
        <v>44985</v>
      </c>
      <c r="I548" s="6">
        <v>45002</v>
      </c>
      <c r="J548" s="4">
        <v>2777.99</v>
      </c>
      <c r="K548">
        <f t="shared" si="25"/>
        <v>17</v>
      </c>
      <c r="L548">
        <f t="shared" si="24"/>
        <v>34</v>
      </c>
      <c r="M548" t="str">
        <f t="shared" si="26"/>
        <v>Adults</v>
      </c>
    </row>
    <row r="549" spans="1:13" x14ac:dyDescent="0.25">
      <c r="A549" t="s">
        <v>1251</v>
      </c>
      <c r="B549" t="s">
        <v>1252</v>
      </c>
      <c r="C549" s="6">
        <v>36329</v>
      </c>
      <c r="D549" t="s">
        <v>27</v>
      </c>
      <c r="E549" t="s">
        <v>163</v>
      </c>
      <c r="F549" t="s">
        <v>13</v>
      </c>
      <c r="G549" t="s">
        <v>165</v>
      </c>
      <c r="H549" s="6">
        <v>44991</v>
      </c>
      <c r="I549" s="6">
        <v>45019</v>
      </c>
      <c r="J549" s="4">
        <v>47630.41</v>
      </c>
      <c r="K549">
        <f t="shared" si="25"/>
        <v>28</v>
      </c>
      <c r="L549">
        <f t="shared" si="24"/>
        <v>23</v>
      </c>
      <c r="M549" t="str">
        <f t="shared" si="26"/>
        <v>Young Adults</v>
      </c>
    </row>
    <row r="550" spans="1:13" x14ac:dyDescent="0.25">
      <c r="A550" t="s">
        <v>1253</v>
      </c>
      <c r="B550" t="s">
        <v>1254</v>
      </c>
      <c r="C550" s="6">
        <v>36591</v>
      </c>
      <c r="D550" t="s">
        <v>27</v>
      </c>
      <c r="E550" t="s">
        <v>271</v>
      </c>
      <c r="F550" t="s">
        <v>272</v>
      </c>
      <c r="G550" t="s">
        <v>273</v>
      </c>
      <c r="H550" s="6">
        <v>44992</v>
      </c>
      <c r="I550" s="6">
        <v>45012</v>
      </c>
      <c r="J550" s="4">
        <v>324.92</v>
      </c>
      <c r="K550">
        <f t="shared" si="25"/>
        <v>20</v>
      </c>
      <c r="L550">
        <f t="shared" si="24"/>
        <v>23</v>
      </c>
      <c r="M550" t="str">
        <f t="shared" si="26"/>
        <v>Young Adults</v>
      </c>
    </row>
    <row r="551" spans="1:13" x14ac:dyDescent="0.25">
      <c r="A551" t="s">
        <v>1255</v>
      </c>
      <c r="B551" t="s">
        <v>1256</v>
      </c>
      <c r="C551" s="6">
        <v>42889</v>
      </c>
      <c r="D551" t="s">
        <v>27</v>
      </c>
      <c r="E551" t="s">
        <v>65</v>
      </c>
      <c r="F551" t="s">
        <v>518</v>
      </c>
      <c r="G551" t="s">
        <v>346</v>
      </c>
      <c r="H551" s="6">
        <v>44994</v>
      </c>
      <c r="I551" s="6">
        <v>45013</v>
      </c>
      <c r="J551" s="4">
        <v>177.52</v>
      </c>
      <c r="K551">
        <f t="shared" si="25"/>
        <v>19</v>
      </c>
      <c r="L551">
        <f t="shared" si="24"/>
        <v>5</v>
      </c>
      <c r="M551" t="str">
        <f t="shared" si="26"/>
        <v>Children and Adolescent</v>
      </c>
    </row>
    <row r="552" spans="1:13" x14ac:dyDescent="0.25">
      <c r="A552" t="s">
        <v>1257</v>
      </c>
      <c r="B552" t="s">
        <v>1258</v>
      </c>
      <c r="C552" s="6">
        <v>8966</v>
      </c>
      <c r="D552" t="s">
        <v>27</v>
      </c>
      <c r="E552" t="s">
        <v>142</v>
      </c>
      <c r="F552" t="s">
        <v>114</v>
      </c>
      <c r="G552" t="s">
        <v>285</v>
      </c>
      <c r="H552" s="6">
        <v>44994</v>
      </c>
      <c r="I552" s="6">
        <v>45010</v>
      </c>
      <c r="J552" s="4">
        <v>2559.5300000000002</v>
      </c>
      <c r="K552">
        <f t="shared" si="25"/>
        <v>16</v>
      </c>
      <c r="L552">
        <f t="shared" si="24"/>
        <v>98</v>
      </c>
      <c r="M552" t="str">
        <f t="shared" si="26"/>
        <v>Older Adults</v>
      </c>
    </row>
    <row r="553" spans="1:13" x14ac:dyDescent="0.25">
      <c r="A553" t="s">
        <v>1259</v>
      </c>
      <c r="B553" t="s">
        <v>1260</v>
      </c>
      <c r="C553" s="6">
        <v>20899</v>
      </c>
      <c r="D553" t="s">
        <v>27</v>
      </c>
      <c r="E553" t="s">
        <v>80</v>
      </c>
      <c r="F553" t="s">
        <v>13</v>
      </c>
      <c r="G553" t="s">
        <v>81</v>
      </c>
      <c r="H553" s="6">
        <v>44996</v>
      </c>
      <c r="I553" s="6">
        <v>45016</v>
      </c>
      <c r="J553" s="4">
        <v>9994.4500000000007</v>
      </c>
      <c r="K553">
        <f t="shared" si="25"/>
        <v>20</v>
      </c>
      <c r="L553">
        <f t="shared" si="24"/>
        <v>65</v>
      </c>
      <c r="M553" t="str">
        <f t="shared" si="26"/>
        <v>Older Adults</v>
      </c>
    </row>
    <row r="554" spans="1:13" x14ac:dyDescent="0.25">
      <c r="A554" t="s">
        <v>1261</v>
      </c>
      <c r="B554" t="s">
        <v>1262</v>
      </c>
      <c r="C554" s="6">
        <v>17738</v>
      </c>
      <c r="D554" t="s">
        <v>11</v>
      </c>
      <c r="E554" t="s">
        <v>33</v>
      </c>
      <c r="F554" t="s">
        <v>34</v>
      </c>
      <c r="G554" t="s">
        <v>478</v>
      </c>
      <c r="H554" s="6">
        <v>44997</v>
      </c>
      <c r="I554" s="6">
        <v>44999</v>
      </c>
      <c r="J554" s="4">
        <v>2510.86</v>
      </c>
      <c r="K554">
        <f t="shared" si="25"/>
        <v>2</v>
      </c>
      <c r="L554">
        <f t="shared" si="24"/>
        <v>74</v>
      </c>
      <c r="M554" t="str">
        <f t="shared" si="26"/>
        <v>Older Adults</v>
      </c>
    </row>
    <row r="555" spans="1:13" x14ac:dyDescent="0.25">
      <c r="A555" t="s">
        <v>1263</v>
      </c>
      <c r="B555" t="s">
        <v>1264</v>
      </c>
      <c r="C555" s="6">
        <v>19888</v>
      </c>
      <c r="D555" t="s">
        <v>11</v>
      </c>
      <c r="E555" t="s">
        <v>65</v>
      </c>
      <c r="F555" t="s">
        <v>518</v>
      </c>
      <c r="G555" t="s">
        <v>66</v>
      </c>
      <c r="H555" s="6">
        <v>44998</v>
      </c>
      <c r="I555" s="6">
        <v>45026</v>
      </c>
      <c r="J555" s="4">
        <v>328.93</v>
      </c>
      <c r="K555">
        <f t="shared" si="25"/>
        <v>28</v>
      </c>
      <c r="L555">
        <f t="shared" si="24"/>
        <v>68</v>
      </c>
      <c r="M555" t="str">
        <f t="shared" si="26"/>
        <v>Older Adults</v>
      </c>
    </row>
    <row r="556" spans="1:13" x14ac:dyDescent="0.25">
      <c r="A556" t="s">
        <v>1265</v>
      </c>
      <c r="B556" t="s">
        <v>1266</v>
      </c>
      <c r="C556" s="6">
        <v>43049</v>
      </c>
      <c r="D556" t="s">
        <v>27</v>
      </c>
      <c r="E556" t="s">
        <v>28</v>
      </c>
      <c r="F556" t="s">
        <v>43</v>
      </c>
      <c r="G556" t="s">
        <v>124</v>
      </c>
      <c r="H556" s="6">
        <v>44998</v>
      </c>
      <c r="I556" s="6">
        <v>45024</v>
      </c>
      <c r="J556" s="4">
        <v>27369.8</v>
      </c>
      <c r="K556">
        <f t="shared" si="25"/>
        <v>26</v>
      </c>
      <c r="L556">
        <f t="shared" si="24"/>
        <v>5</v>
      </c>
      <c r="M556" t="str">
        <f t="shared" si="26"/>
        <v>Children and Adolescent</v>
      </c>
    </row>
    <row r="557" spans="1:13" x14ac:dyDescent="0.25">
      <c r="A557" t="s">
        <v>1267</v>
      </c>
      <c r="B557" t="s">
        <v>1268</v>
      </c>
      <c r="C557" s="6">
        <v>28888</v>
      </c>
      <c r="D557" t="s">
        <v>11</v>
      </c>
      <c r="E557" t="s">
        <v>120</v>
      </c>
      <c r="F557" t="s">
        <v>23</v>
      </c>
      <c r="G557" t="s">
        <v>306</v>
      </c>
      <c r="H557" s="6">
        <v>44999</v>
      </c>
      <c r="I557" s="6">
        <v>45023</v>
      </c>
      <c r="J557" s="4">
        <v>1278.33</v>
      </c>
      <c r="K557">
        <f t="shared" si="25"/>
        <v>24</v>
      </c>
      <c r="L557">
        <f t="shared" si="24"/>
        <v>44</v>
      </c>
      <c r="M557" t="str">
        <f t="shared" si="26"/>
        <v>Adults</v>
      </c>
    </row>
    <row r="558" spans="1:13" x14ac:dyDescent="0.25">
      <c r="A558" t="s">
        <v>1269</v>
      </c>
      <c r="B558" t="s">
        <v>1270</v>
      </c>
      <c r="C558" s="6">
        <v>13515</v>
      </c>
      <c r="D558" t="s">
        <v>27</v>
      </c>
      <c r="E558" t="s">
        <v>17</v>
      </c>
      <c r="F558" t="s">
        <v>34</v>
      </c>
      <c r="G558" t="s">
        <v>135</v>
      </c>
      <c r="H558" s="6">
        <v>44999</v>
      </c>
      <c r="I558" s="6">
        <v>45020</v>
      </c>
      <c r="J558" s="4">
        <v>1389.07</v>
      </c>
      <c r="K558">
        <f t="shared" si="25"/>
        <v>21</v>
      </c>
      <c r="L558">
        <f t="shared" si="24"/>
        <v>86</v>
      </c>
      <c r="M558" t="str">
        <f t="shared" si="26"/>
        <v>Older Adults</v>
      </c>
    </row>
    <row r="559" spans="1:13" x14ac:dyDescent="0.25">
      <c r="A559" t="s">
        <v>1271</v>
      </c>
      <c r="B559" t="s">
        <v>1272</v>
      </c>
      <c r="C559" s="6">
        <v>41877</v>
      </c>
      <c r="D559" t="s">
        <v>11</v>
      </c>
      <c r="E559" t="s">
        <v>72</v>
      </c>
      <c r="F559" t="s">
        <v>13</v>
      </c>
      <c r="G559" t="s">
        <v>278</v>
      </c>
      <c r="H559" s="6">
        <v>44999</v>
      </c>
      <c r="I559" s="6">
        <v>45020</v>
      </c>
      <c r="J559" s="4">
        <v>9015.81</v>
      </c>
      <c r="K559">
        <f t="shared" si="25"/>
        <v>21</v>
      </c>
      <c r="L559">
        <f t="shared" si="24"/>
        <v>8</v>
      </c>
      <c r="M559" t="str">
        <f t="shared" si="26"/>
        <v>Children and Adolescent</v>
      </c>
    </row>
    <row r="560" spans="1:13" x14ac:dyDescent="0.25">
      <c r="A560" t="s">
        <v>1273</v>
      </c>
      <c r="B560" t="s">
        <v>1274</v>
      </c>
      <c r="C560" s="6">
        <v>42558</v>
      </c>
      <c r="D560" t="s">
        <v>27</v>
      </c>
      <c r="E560" t="s">
        <v>97</v>
      </c>
      <c r="F560" t="s">
        <v>98</v>
      </c>
      <c r="G560" t="s">
        <v>132</v>
      </c>
      <c r="H560" s="6">
        <v>45000</v>
      </c>
      <c r="I560" s="6">
        <v>45019</v>
      </c>
      <c r="J560" s="4">
        <v>619.52</v>
      </c>
      <c r="K560">
        <f t="shared" si="25"/>
        <v>19</v>
      </c>
      <c r="L560">
        <f t="shared" si="24"/>
        <v>6</v>
      </c>
      <c r="M560" t="str">
        <f t="shared" si="26"/>
        <v>Children and Adolescent</v>
      </c>
    </row>
    <row r="561" spans="1:13" x14ac:dyDescent="0.25">
      <c r="A561" t="s">
        <v>1275</v>
      </c>
      <c r="B561" t="s">
        <v>1276</v>
      </c>
      <c r="C561" s="6">
        <v>20935</v>
      </c>
      <c r="D561" t="s">
        <v>27</v>
      </c>
      <c r="E561" t="s">
        <v>38</v>
      </c>
      <c r="F561" t="s">
        <v>39</v>
      </c>
      <c r="G561" t="s">
        <v>77</v>
      </c>
      <c r="H561" s="6">
        <v>45000</v>
      </c>
      <c r="I561" s="6">
        <v>45025</v>
      </c>
      <c r="J561" s="4">
        <v>2394.33</v>
      </c>
      <c r="K561">
        <f t="shared" si="25"/>
        <v>25</v>
      </c>
      <c r="L561">
        <f t="shared" si="24"/>
        <v>65</v>
      </c>
      <c r="M561" t="str">
        <f t="shared" si="26"/>
        <v>Older Adults</v>
      </c>
    </row>
    <row r="562" spans="1:13" x14ac:dyDescent="0.25">
      <c r="A562" t="s">
        <v>1277</v>
      </c>
      <c r="B562" t="s">
        <v>1278</v>
      </c>
      <c r="C562" s="6">
        <v>39923</v>
      </c>
      <c r="D562" t="s">
        <v>11</v>
      </c>
      <c r="E562" t="s">
        <v>28</v>
      </c>
      <c r="F562" t="s">
        <v>29</v>
      </c>
      <c r="G562" t="s">
        <v>124</v>
      </c>
      <c r="H562" s="6">
        <v>45002</v>
      </c>
      <c r="I562" s="6">
        <v>45024</v>
      </c>
      <c r="J562" s="4">
        <v>17773.72</v>
      </c>
      <c r="K562">
        <f t="shared" si="25"/>
        <v>22</v>
      </c>
      <c r="L562">
        <f t="shared" si="24"/>
        <v>13</v>
      </c>
      <c r="M562" t="str">
        <f t="shared" si="26"/>
        <v>Children and Adolescent</v>
      </c>
    </row>
    <row r="563" spans="1:13" x14ac:dyDescent="0.25">
      <c r="A563" t="s">
        <v>1279</v>
      </c>
      <c r="B563" t="s">
        <v>1280</v>
      </c>
      <c r="C563" s="6">
        <v>35428</v>
      </c>
      <c r="D563" t="s">
        <v>27</v>
      </c>
      <c r="E563" t="s">
        <v>80</v>
      </c>
      <c r="F563" t="s">
        <v>13</v>
      </c>
      <c r="G563" t="s">
        <v>444</v>
      </c>
      <c r="H563" s="6">
        <v>45005</v>
      </c>
      <c r="I563" s="6">
        <v>45033</v>
      </c>
      <c r="J563" s="4">
        <v>16346.65</v>
      </c>
      <c r="K563">
        <f t="shared" si="25"/>
        <v>28</v>
      </c>
      <c r="L563">
        <f t="shared" si="24"/>
        <v>26</v>
      </c>
      <c r="M563" t="str">
        <f t="shared" si="26"/>
        <v>Adults</v>
      </c>
    </row>
    <row r="564" spans="1:13" x14ac:dyDescent="0.25">
      <c r="A564" t="s">
        <v>1281</v>
      </c>
      <c r="B564" t="s">
        <v>1282</v>
      </c>
      <c r="C564" s="6">
        <v>10401</v>
      </c>
      <c r="D564" t="s">
        <v>27</v>
      </c>
      <c r="E564" t="s">
        <v>55</v>
      </c>
      <c r="F564" t="s">
        <v>56</v>
      </c>
      <c r="G564" t="s">
        <v>228</v>
      </c>
      <c r="H564" s="6">
        <v>45007</v>
      </c>
      <c r="I564" s="6">
        <v>45023</v>
      </c>
      <c r="J564" s="4">
        <v>2390.17</v>
      </c>
      <c r="K564">
        <f t="shared" si="25"/>
        <v>16</v>
      </c>
      <c r="L564">
        <f t="shared" si="24"/>
        <v>94</v>
      </c>
      <c r="M564" t="str">
        <f t="shared" si="26"/>
        <v>Older Adults</v>
      </c>
    </row>
    <row r="565" spans="1:13" x14ac:dyDescent="0.25">
      <c r="A565" t="s">
        <v>1283</v>
      </c>
      <c r="B565" t="s">
        <v>1284</v>
      </c>
      <c r="C565" s="6">
        <v>37805</v>
      </c>
      <c r="D565" t="s">
        <v>11</v>
      </c>
      <c r="E565" t="s">
        <v>152</v>
      </c>
      <c r="F565" t="s">
        <v>13</v>
      </c>
      <c r="G565" t="s">
        <v>195</v>
      </c>
      <c r="H565" s="6">
        <v>45008</v>
      </c>
      <c r="I565" s="6">
        <v>45027</v>
      </c>
      <c r="J565" s="4">
        <v>10954.83</v>
      </c>
      <c r="K565">
        <f t="shared" si="25"/>
        <v>19</v>
      </c>
      <c r="L565">
        <f t="shared" si="24"/>
        <v>19</v>
      </c>
      <c r="M565" t="str">
        <f t="shared" si="26"/>
        <v>Young Adults</v>
      </c>
    </row>
    <row r="566" spans="1:13" x14ac:dyDescent="0.25">
      <c r="A566" t="s">
        <v>1285</v>
      </c>
      <c r="B566" t="s">
        <v>1286</v>
      </c>
      <c r="C566" s="6">
        <v>42477</v>
      </c>
      <c r="D566" t="s">
        <v>27</v>
      </c>
      <c r="E566" t="s">
        <v>55</v>
      </c>
      <c r="F566" t="s">
        <v>217</v>
      </c>
      <c r="G566" t="s">
        <v>228</v>
      </c>
      <c r="H566" s="6">
        <v>45010</v>
      </c>
      <c r="I566" s="6">
        <v>45020</v>
      </c>
      <c r="J566" s="4">
        <v>3981.69</v>
      </c>
      <c r="K566">
        <f t="shared" si="25"/>
        <v>10</v>
      </c>
      <c r="L566">
        <f t="shared" si="24"/>
        <v>6</v>
      </c>
      <c r="M566" t="str">
        <f t="shared" si="26"/>
        <v>Children and Adolescent</v>
      </c>
    </row>
    <row r="567" spans="1:13" x14ac:dyDescent="0.25">
      <c r="A567" t="s">
        <v>1287</v>
      </c>
      <c r="B567" t="s">
        <v>1288</v>
      </c>
      <c r="C567" s="6">
        <v>37728</v>
      </c>
      <c r="D567" t="s">
        <v>11</v>
      </c>
      <c r="E567" t="s">
        <v>163</v>
      </c>
      <c r="F567" t="s">
        <v>164</v>
      </c>
      <c r="G567" t="s">
        <v>165</v>
      </c>
      <c r="H567" s="6">
        <v>45010</v>
      </c>
      <c r="I567" s="6">
        <v>45030</v>
      </c>
      <c r="J567" s="4">
        <v>33619.279999999999</v>
      </c>
      <c r="K567">
        <f t="shared" si="25"/>
        <v>20</v>
      </c>
      <c r="L567">
        <f t="shared" si="24"/>
        <v>19</v>
      </c>
      <c r="M567" t="str">
        <f t="shared" si="26"/>
        <v>Young Adults</v>
      </c>
    </row>
    <row r="568" spans="1:13" x14ac:dyDescent="0.25">
      <c r="A568" t="s">
        <v>1289</v>
      </c>
      <c r="B568" t="s">
        <v>1290</v>
      </c>
      <c r="C568" s="6">
        <v>23737</v>
      </c>
      <c r="D568" t="s">
        <v>11</v>
      </c>
      <c r="E568" t="s">
        <v>97</v>
      </c>
      <c r="F568" t="s">
        <v>98</v>
      </c>
      <c r="G568" t="s">
        <v>99</v>
      </c>
      <c r="H568" s="6">
        <v>45010</v>
      </c>
      <c r="I568" s="6">
        <v>45023</v>
      </c>
      <c r="J568" s="4">
        <v>359.86</v>
      </c>
      <c r="K568">
        <f t="shared" si="25"/>
        <v>13</v>
      </c>
      <c r="L568">
        <f t="shared" si="24"/>
        <v>58</v>
      </c>
      <c r="M568" t="str">
        <f t="shared" si="26"/>
        <v>Adults</v>
      </c>
    </row>
    <row r="569" spans="1:13" x14ac:dyDescent="0.25">
      <c r="A569" t="s">
        <v>1291</v>
      </c>
      <c r="B569" t="s">
        <v>1292</v>
      </c>
      <c r="C569" s="6">
        <v>34390</v>
      </c>
      <c r="D569" t="s">
        <v>11</v>
      </c>
      <c r="E569" t="s">
        <v>97</v>
      </c>
      <c r="F569" t="s">
        <v>98</v>
      </c>
      <c r="G569" t="s">
        <v>99</v>
      </c>
      <c r="H569" s="6">
        <v>45010</v>
      </c>
      <c r="I569" s="6">
        <v>45034</v>
      </c>
      <c r="J569" s="4">
        <v>973.02</v>
      </c>
      <c r="K569">
        <f t="shared" si="25"/>
        <v>24</v>
      </c>
      <c r="L569">
        <f t="shared" si="24"/>
        <v>29</v>
      </c>
      <c r="M569" t="str">
        <f t="shared" si="26"/>
        <v>Adults</v>
      </c>
    </row>
    <row r="570" spans="1:13" x14ac:dyDescent="0.25">
      <c r="A570" t="s">
        <v>1293</v>
      </c>
      <c r="B570" t="s">
        <v>1294</v>
      </c>
      <c r="C570" s="6">
        <v>21374</v>
      </c>
      <c r="D570" t="s">
        <v>11</v>
      </c>
      <c r="E570" t="s">
        <v>28</v>
      </c>
      <c r="F570" t="s">
        <v>43</v>
      </c>
      <c r="G570" t="s">
        <v>44</v>
      </c>
      <c r="H570" s="6">
        <v>45011</v>
      </c>
      <c r="I570" s="6">
        <v>45036</v>
      </c>
      <c r="J570" s="4">
        <v>8344.02</v>
      </c>
      <c r="K570">
        <f t="shared" si="25"/>
        <v>25</v>
      </c>
      <c r="L570">
        <f t="shared" si="24"/>
        <v>64</v>
      </c>
      <c r="M570" t="str">
        <f t="shared" si="26"/>
        <v>Older Adults</v>
      </c>
    </row>
    <row r="571" spans="1:13" x14ac:dyDescent="0.25">
      <c r="A571" t="s">
        <v>1295</v>
      </c>
      <c r="B571" t="s">
        <v>1296</v>
      </c>
      <c r="C571" s="6">
        <v>16336</v>
      </c>
      <c r="D571" t="s">
        <v>11</v>
      </c>
      <c r="E571" t="s">
        <v>302</v>
      </c>
      <c r="F571" t="s">
        <v>29</v>
      </c>
      <c r="G571" t="s">
        <v>303</v>
      </c>
      <c r="H571" s="6">
        <v>45011</v>
      </c>
      <c r="I571" s="6">
        <v>45027</v>
      </c>
      <c r="J571" s="4">
        <v>8454.4</v>
      </c>
      <c r="K571">
        <f t="shared" si="25"/>
        <v>16</v>
      </c>
      <c r="L571">
        <f t="shared" si="24"/>
        <v>78</v>
      </c>
      <c r="M571" t="str">
        <f t="shared" si="26"/>
        <v>Older Adults</v>
      </c>
    </row>
    <row r="572" spans="1:13" x14ac:dyDescent="0.25">
      <c r="A572" t="s">
        <v>1297</v>
      </c>
      <c r="B572" t="s">
        <v>1298</v>
      </c>
      <c r="C572" s="6">
        <v>33854</v>
      </c>
      <c r="D572" t="s">
        <v>11</v>
      </c>
      <c r="E572" t="s">
        <v>302</v>
      </c>
      <c r="F572" t="s">
        <v>29</v>
      </c>
      <c r="G572" t="s">
        <v>399</v>
      </c>
      <c r="H572" s="6">
        <v>45015</v>
      </c>
      <c r="I572" s="6">
        <v>45026</v>
      </c>
      <c r="J572" s="4">
        <v>13530.47</v>
      </c>
      <c r="K572">
        <f t="shared" si="25"/>
        <v>11</v>
      </c>
      <c r="L572">
        <f t="shared" si="24"/>
        <v>30</v>
      </c>
      <c r="M572" t="str">
        <f t="shared" si="26"/>
        <v>Adults</v>
      </c>
    </row>
    <row r="573" spans="1:13" x14ac:dyDescent="0.25">
      <c r="A573" t="s">
        <v>1299</v>
      </c>
      <c r="B573" t="s">
        <v>1300</v>
      </c>
      <c r="C573" s="6">
        <v>21376</v>
      </c>
      <c r="D573" t="s">
        <v>27</v>
      </c>
      <c r="E573" t="s">
        <v>80</v>
      </c>
      <c r="F573" t="s">
        <v>29</v>
      </c>
      <c r="G573" t="s">
        <v>81</v>
      </c>
      <c r="H573" s="6">
        <v>45015</v>
      </c>
      <c r="I573" s="6">
        <v>45034</v>
      </c>
      <c r="J573" s="4">
        <v>14530.3</v>
      </c>
      <c r="K573">
        <f t="shared" si="25"/>
        <v>19</v>
      </c>
      <c r="L573">
        <f t="shared" si="24"/>
        <v>64</v>
      </c>
      <c r="M573" t="str">
        <f t="shared" si="26"/>
        <v>Older Adults</v>
      </c>
    </row>
    <row r="574" spans="1:13" x14ac:dyDescent="0.25">
      <c r="A574" t="s">
        <v>1301</v>
      </c>
      <c r="B574" t="s">
        <v>1302</v>
      </c>
      <c r="C574" s="6">
        <v>25262</v>
      </c>
      <c r="D574" t="s">
        <v>27</v>
      </c>
      <c r="E574" t="s">
        <v>187</v>
      </c>
      <c r="F574" t="s">
        <v>188</v>
      </c>
      <c r="G574" t="s">
        <v>192</v>
      </c>
      <c r="H574" s="6">
        <v>45015</v>
      </c>
      <c r="I574" s="6">
        <v>45024</v>
      </c>
      <c r="J574" s="4">
        <v>8549.52</v>
      </c>
      <c r="K574">
        <f t="shared" si="25"/>
        <v>9</v>
      </c>
      <c r="L574">
        <f t="shared" si="24"/>
        <v>54</v>
      </c>
      <c r="M574" t="str">
        <f t="shared" si="26"/>
        <v>Adults</v>
      </c>
    </row>
    <row r="575" spans="1:13" x14ac:dyDescent="0.25">
      <c r="A575" t="s">
        <v>1303</v>
      </c>
      <c r="B575" t="s">
        <v>1304</v>
      </c>
      <c r="C575" s="6">
        <v>41101</v>
      </c>
      <c r="D575" t="s">
        <v>11</v>
      </c>
      <c r="E575" t="s">
        <v>12</v>
      </c>
      <c r="F575" t="s">
        <v>172</v>
      </c>
      <c r="G575" t="s">
        <v>173</v>
      </c>
      <c r="H575" s="6">
        <v>45015</v>
      </c>
      <c r="I575" s="6">
        <v>45020</v>
      </c>
      <c r="J575" s="4">
        <v>15974.31</v>
      </c>
      <c r="K575">
        <f t="shared" si="25"/>
        <v>5</v>
      </c>
      <c r="L575">
        <f t="shared" si="24"/>
        <v>10</v>
      </c>
      <c r="M575" t="str">
        <f t="shared" si="26"/>
        <v>Children and Adolescent</v>
      </c>
    </row>
    <row r="576" spans="1:13" x14ac:dyDescent="0.25">
      <c r="A576" t="s">
        <v>1305</v>
      </c>
      <c r="B576" t="s">
        <v>1306</v>
      </c>
      <c r="C576" s="6">
        <v>8732</v>
      </c>
      <c r="D576" t="s">
        <v>11</v>
      </c>
      <c r="E576" t="s">
        <v>127</v>
      </c>
      <c r="F576" t="s">
        <v>994</v>
      </c>
      <c r="G576" t="s">
        <v>510</v>
      </c>
      <c r="H576" s="6">
        <v>45016</v>
      </c>
      <c r="I576" s="6">
        <v>45044</v>
      </c>
      <c r="J576" s="4">
        <v>2146.7199999999998</v>
      </c>
      <c r="K576">
        <f t="shared" si="25"/>
        <v>28</v>
      </c>
      <c r="L576">
        <f t="shared" si="24"/>
        <v>99</v>
      </c>
      <c r="M576" t="str">
        <f t="shared" si="26"/>
        <v>Older Adults</v>
      </c>
    </row>
    <row r="577" spans="1:13" x14ac:dyDescent="0.25">
      <c r="A577" t="s">
        <v>1307</v>
      </c>
      <c r="B577" t="s">
        <v>1308</v>
      </c>
      <c r="C577" s="6">
        <v>35658</v>
      </c>
      <c r="D577" t="s">
        <v>11</v>
      </c>
      <c r="E577" t="s">
        <v>97</v>
      </c>
      <c r="F577" t="s">
        <v>540</v>
      </c>
      <c r="G577" t="s">
        <v>132</v>
      </c>
      <c r="H577" s="6">
        <v>45017</v>
      </c>
      <c r="I577" s="6">
        <v>45043</v>
      </c>
      <c r="J577" s="4">
        <v>453.52</v>
      </c>
      <c r="K577">
        <f t="shared" si="25"/>
        <v>26</v>
      </c>
      <c r="L577">
        <f t="shared" si="24"/>
        <v>25</v>
      </c>
      <c r="M577" t="str">
        <f t="shared" si="26"/>
        <v>Adults</v>
      </c>
    </row>
    <row r="578" spans="1:13" x14ac:dyDescent="0.25">
      <c r="A578" t="s">
        <v>1309</v>
      </c>
      <c r="B578" t="s">
        <v>1310</v>
      </c>
      <c r="C578" s="6">
        <v>18599</v>
      </c>
      <c r="D578" t="s">
        <v>11</v>
      </c>
      <c r="E578" t="s">
        <v>84</v>
      </c>
      <c r="F578" t="s">
        <v>85</v>
      </c>
      <c r="G578" t="s">
        <v>238</v>
      </c>
      <c r="H578" s="6">
        <v>45018</v>
      </c>
      <c r="I578" s="6">
        <v>45047</v>
      </c>
      <c r="J578" s="4">
        <v>2682.29</v>
      </c>
      <c r="K578">
        <f t="shared" si="25"/>
        <v>29</v>
      </c>
      <c r="L578">
        <f t="shared" ref="L578:L641" si="27">IF(C578&gt;H578,"Invalid DOB",DATEDIF(C578,H578,"Y"))</f>
        <v>72</v>
      </c>
      <c r="M578" t="str">
        <f t="shared" si="26"/>
        <v>Older Adults</v>
      </c>
    </row>
    <row r="579" spans="1:13" x14ac:dyDescent="0.25">
      <c r="A579" t="s">
        <v>1311</v>
      </c>
      <c r="B579" t="s">
        <v>1312</v>
      </c>
      <c r="C579" s="6">
        <v>14598</v>
      </c>
      <c r="D579" t="s">
        <v>11</v>
      </c>
      <c r="E579" t="s">
        <v>362</v>
      </c>
      <c r="F579" t="s">
        <v>172</v>
      </c>
      <c r="G579" t="s">
        <v>363</v>
      </c>
      <c r="H579" s="6">
        <v>45019</v>
      </c>
      <c r="I579" s="6">
        <v>45045</v>
      </c>
      <c r="J579" s="4">
        <v>12527.18</v>
      </c>
      <c r="K579">
        <f t="shared" ref="K579:K642" si="28">I579-H579</f>
        <v>26</v>
      </c>
      <c r="L579">
        <f t="shared" si="27"/>
        <v>83</v>
      </c>
      <c r="M579" t="str">
        <f t="shared" ref="M579:M642" si="29">IF(L579="Invalid DOB","Invalid DOB",IF(L579&lt;=4,"Early childhood",IF(L579&lt;=17,"Children and Adolescent",IF(L579&lt;=24,"Young Adults",IF(L579&lt;=59,"Adults","Older Adults")))))</f>
        <v>Older Adults</v>
      </c>
    </row>
    <row r="580" spans="1:13" x14ac:dyDescent="0.25">
      <c r="A580" t="s">
        <v>1313</v>
      </c>
      <c r="B580" t="s">
        <v>1314</v>
      </c>
      <c r="C580" s="6">
        <v>30108</v>
      </c>
      <c r="D580" t="s">
        <v>11</v>
      </c>
      <c r="E580" t="s">
        <v>302</v>
      </c>
      <c r="F580" t="s">
        <v>13</v>
      </c>
      <c r="G580" t="s">
        <v>399</v>
      </c>
      <c r="H580" s="6">
        <v>45020</v>
      </c>
      <c r="I580" s="6">
        <v>45032</v>
      </c>
      <c r="J580" s="4">
        <v>12411.99</v>
      </c>
      <c r="K580">
        <f t="shared" si="28"/>
        <v>12</v>
      </c>
      <c r="L580">
        <f t="shared" si="27"/>
        <v>40</v>
      </c>
      <c r="M580" t="str">
        <f t="shared" si="29"/>
        <v>Adults</v>
      </c>
    </row>
    <row r="581" spans="1:13" x14ac:dyDescent="0.25">
      <c r="A581" t="s">
        <v>1315</v>
      </c>
      <c r="B581" t="s">
        <v>1316</v>
      </c>
      <c r="C581" s="6">
        <v>42237</v>
      </c>
      <c r="D581" t="s">
        <v>27</v>
      </c>
      <c r="E581" t="s">
        <v>22</v>
      </c>
      <c r="F581" t="s">
        <v>110</v>
      </c>
      <c r="G581" t="s">
        <v>24</v>
      </c>
      <c r="H581" s="6">
        <v>45022</v>
      </c>
      <c r="I581" s="6">
        <v>45026</v>
      </c>
      <c r="J581" s="4">
        <v>2830.14</v>
      </c>
      <c r="K581">
        <f t="shared" si="28"/>
        <v>4</v>
      </c>
      <c r="L581">
        <f t="shared" si="27"/>
        <v>7</v>
      </c>
      <c r="M581" t="str">
        <f t="shared" si="29"/>
        <v>Children and Adolescent</v>
      </c>
    </row>
    <row r="582" spans="1:13" x14ac:dyDescent="0.25">
      <c r="A582" t="s">
        <v>1317</v>
      </c>
      <c r="B582" t="s">
        <v>1318</v>
      </c>
      <c r="C582" s="6">
        <v>22674</v>
      </c>
      <c r="D582" t="s">
        <v>27</v>
      </c>
      <c r="E582" t="s">
        <v>92</v>
      </c>
      <c r="F582" t="s">
        <v>13</v>
      </c>
      <c r="G582" t="s">
        <v>296</v>
      </c>
      <c r="H582" s="6">
        <v>45025</v>
      </c>
      <c r="I582" s="6">
        <v>45037</v>
      </c>
      <c r="J582" s="4">
        <v>1895.72</v>
      </c>
      <c r="K582">
        <f t="shared" si="28"/>
        <v>12</v>
      </c>
      <c r="L582">
        <f t="shared" si="27"/>
        <v>61</v>
      </c>
      <c r="M582" t="str">
        <f t="shared" si="29"/>
        <v>Older Adults</v>
      </c>
    </row>
    <row r="583" spans="1:13" x14ac:dyDescent="0.25">
      <c r="A583" t="s">
        <v>1319</v>
      </c>
      <c r="B583" t="s">
        <v>1320</v>
      </c>
      <c r="C583" s="6">
        <v>42150</v>
      </c>
      <c r="D583" t="s">
        <v>27</v>
      </c>
      <c r="E583" t="s">
        <v>84</v>
      </c>
      <c r="F583" t="s">
        <v>85</v>
      </c>
      <c r="G583" t="s">
        <v>254</v>
      </c>
      <c r="H583" s="6">
        <v>45025</v>
      </c>
      <c r="I583" s="6">
        <v>45052</v>
      </c>
      <c r="J583" s="4">
        <v>1166.49</v>
      </c>
      <c r="K583">
        <f t="shared" si="28"/>
        <v>27</v>
      </c>
      <c r="L583">
        <f t="shared" si="27"/>
        <v>7</v>
      </c>
      <c r="M583" t="str">
        <f t="shared" si="29"/>
        <v>Children and Adolescent</v>
      </c>
    </row>
    <row r="584" spans="1:13" x14ac:dyDescent="0.25">
      <c r="A584" t="s">
        <v>1321</v>
      </c>
      <c r="B584" t="s">
        <v>1322</v>
      </c>
      <c r="C584" s="6">
        <v>32240</v>
      </c>
      <c r="D584" t="s">
        <v>27</v>
      </c>
      <c r="E584" t="s">
        <v>72</v>
      </c>
      <c r="F584" t="s">
        <v>73</v>
      </c>
      <c r="G584" t="s">
        <v>74</v>
      </c>
      <c r="H584" s="6">
        <v>45025</v>
      </c>
      <c r="I584" s="6">
        <v>45029</v>
      </c>
      <c r="J584" s="4">
        <v>7552.48</v>
      </c>
      <c r="K584">
        <f t="shared" si="28"/>
        <v>4</v>
      </c>
      <c r="L584">
        <f t="shared" si="27"/>
        <v>35</v>
      </c>
      <c r="M584" t="str">
        <f t="shared" si="29"/>
        <v>Adults</v>
      </c>
    </row>
    <row r="585" spans="1:13" x14ac:dyDescent="0.25">
      <c r="A585" t="s">
        <v>1323</v>
      </c>
      <c r="B585" t="s">
        <v>1324</v>
      </c>
      <c r="C585" s="6">
        <v>22669</v>
      </c>
      <c r="D585" t="s">
        <v>11</v>
      </c>
      <c r="E585" t="s">
        <v>302</v>
      </c>
      <c r="F585" t="s">
        <v>29</v>
      </c>
      <c r="G585" t="s">
        <v>408</v>
      </c>
      <c r="H585" s="6">
        <v>45026</v>
      </c>
      <c r="I585" s="6">
        <v>45049</v>
      </c>
      <c r="J585" s="4">
        <v>10123.48</v>
      </c>
      <c r="K585">
        <f t="shared" si="28"/>
        <v>23</v>
      </c>
      <c r="L585">
        <f t="shared" si="27"/>
        <v>61</v>
      </c>
      <c r="M585" t="str">
        <f t="shared" si="29"/>
        <v>Older Adults</v>
      </c>
    </row>
    <row r="586" spans="1:13" x14ac:dyDescent="0.25">
      <c r="A586" t="s">
        <v>1325</v>
      </c>
      <c r="B586" t="s">
        <v>1326</v>
      </c>
      <c r="C586" s="6">
        <v>42715</v>
      </c>
      <c r="D586" t="s">
        <v>11</v>
      </c>
      <c r="E586" t="s">
        <v>152</v>
      </c>
      <c r="F586" t="s">
        <v>56</v>
      </c>
      <c r="G586" t="s">
        <v>153</v>
      </c>
      <c r="H586" s="6">
        <v>45030</v>
      </c>
      <c r="I586" s="6">
        <v>45048</v>
      </c>
      <c r="J586" s="4">
        <v>16576.080000000002</v>
      </c>
      <c r="K586">
        <f t="shared" si="28"/>
        <v>18</v>
      </c>
      <c r="L586">
        <f t="shared" si="27"/>
        <v>6</v>
      </c>
      <c r="M586" t="str">
        <f t="shared" si="29"/>
        <v>Children and Adolescent</v>
      </c>
    </row>
    <row r="587" spans="1:13" x14ac:dyDescent="0.25">
      <c r="A587" t="s">
        <v>1327</v>
      </c>
      <c r="B587" t="s">
        <v>1328</v>
      </c>
      <c r="C587" s="6">
        <v>25218</v>
      </c>
      <c r="D587" t="s">
        <v>27</v>
      </c>
      <c r="E587" t="s">
        <v>17</v>
      </c>
      <c r="F587" t="s">
        <v>34</v>
      </c>
      <c r="G587" t="s">
        <v>318</v>
      </c>
      <c r="H587" s="6">
        <v>45031</v>
      </c>
      <c r="I587" s="6">
        <v>45036</v>
      </c>
      <c r="J587" s="4">
        <v>1510.13</v>
      </c>
      <c r="K587">
        <f t="shared" si="28"/>
        <v>5</v>
      </c>
      <c r="L587">
        <f t="shared" si="27"/>
        <v>54</v>
      </c>
      <c r="M587" t="str">
        <f t="shared" si="29"/>
        <v>Adults</v>
      </c>
    </row>
    <row r="588" spans="1:13" x14ac:dyDescent="0.25">
      <c r="A588" t="s">
        <v>1329</v>
      </c>
      <c r="B588" t="s">
        <v>1330</v>
      </c>
      <c r="C588" s="6">
        <v>14016</v>
      </c>
      <c r="D588" t="s">
        <v>11</v>
      </c>
      <c r="E588" t="s">
        <v>142</v>
      </c>
      <c r="F588" t="s">
        <v>110</v>
      </c>
      <c r="G588" t="s">
        <v>143</v>
      </c>
      <c r="H588" s="6">
        <v>45031</v>
      </c>
      <c r="I588" s="6">
        <v>45058</v>
      </c>
      <c r="J588" s="4">
        <v>2137.16</v>
      </c>
      <c r="K588">
        <f t="shared" si="28"/>
        <v>27</v>
      </c>
      <c r="L588">
        <f t="shared" si="27"/>
        <v>84</v>
      </c>
      <c r="M588" t="str">
        <f t="shared" si="29"/>
        <v>Older Adults</v>
      </c>
    </row>
    <row r="589" spans="1:13" x14ac:dyDescent="0.25">
      <c r="A589" t="s">
        <v>1331</v>
      </c>
      <c r="B589" t="s">
        <v>1332</v>
      </c>
      <c r="C589" s="6">
        <v>19800</v>
      </c>
      <c r="D589" t="s">
        <v>11</v>
      </c>
      <c r="E589" t="s">
        <v>97</v>
      </c>
      <c r="F589" t="s">
        <v>98</v>
      </c>
      <c r="G589" t="s">
        <v>132</v>
      </c>
      <c r="H589" s="6">
        <v>45032</v>
      </c>
      <c r="I589" s="6">
        <v>45061</v>
      </c>
      <c r="J589" s="4">
        <v>829.41</v>
      </c>
      <c r="K589">
        <f t="shared" si="28"/>
        <v>29</v>
      </c>
      <c r="L589">
        <f t="shared" si="27"/>
        <v>69</v>
      </c>
      <c r="M589" t="str">
        <f t="shared" si="29"/>
        <v>Older Adults</v>
      </c>
    </row>
    <row r="590" spans="1:13" x14ac:dyDescent="0.25">
      <c r="A590" t="s">
        <v>1333</v>
      </c>
      <c r="B590" t="s">
        <v>1334</v>
      </c>
      <c r="C590" s="6">
        <v>41811</v>
      </c>
      <c r="D590" t="s">
        <v>11</v>
      </c>
      <c r="E590" t="s">
        <v>187</v>
      </c>
      <c r="F590" t="s">
        <v>188</v>
      </c>
      <c r="G590" t="s">
        <v>192</v>
      </c>
      <c r="H590" s="6">
        <v>45034</v>
      </c>
      <c r="I590" s="6">
        <v>45039</v>
      </c>
      <c r="J590" s="4">
        <v>14080.25</v>
      </c>
      <c r="K590">
        <f t="shared" si="28"/>
        <v>5</v>
      </c>
      <c r="L590">
        <f t="shared" si="27"/>
        <v>8</v>
      </c>
      <c r="M590" t="str">
        <f t="shared" si="29"/>
        <v>Children and Adolescent</v>
      </c>
    </row>
    <row r="591" spans="1:13" x14ac:dyDescent="0.25">
      <c r="A591" t="s">
        <v>1335</v>
      </c>
      <c r="B591" t="s">
        <v>1336</v>
      </c>
      <c r="C591" s="6">
        <v>16182</v>
      </c>
      <c r="D591" t="s">
        <v>27</v>
      </c>
      <c r="E591" t="s">
        <v>102</v>
      </c>
      <c r="F591" t="s">
        <v>103</v>
      </c>
      <c r="G591" t="s">
        <v>160</v>
      </c>
      <c r="H591" s="6">
        <v>45034</v>
      </c>
      <c r="I591" s="6">
        <v>45046</v>
      </c>
      <c r="J591" s="4">
        <v>46844.39</v>
      </c>
      <c r="K591">
        <f t="shared" si="28"/>
        <v>12</v>
      </c>
      <c r="L591">
        <f t="shared" si="27"/>
        <v>78</v>
      </c>
      <c r="M591" t="str">
        <f t="shared" si="29"/>
        <v>Older Adults</v>
      </c>
    </row>
    <row r="592" spans="1:13" x14ac:dyDescent="0.25">
      <c r="A592" t="s">
        <v>1337</v>
      </c>
      <c r="B592" t="s">
        <v>1338</v>
      </c>
      <c r="C592" s="6">
        <v>42079</v>
      </c>
      <c r="D592" t="s">
        <v>11</v>
      </c>
      <c r="E592" t="s">
        <v>17</v>
      </c>
      <c r="F592" t="s">
        <v>34</v>
      </c>
      <c r="G592" t="s">
        <v>318</v>
      </c>
      <c r="H592" s="6">
        <v>45037</v>
      </c>
      <c r="I592" s="6">
        <v>45046</v>
      </c>
      <c r="J592" s="4">
        <v>747.16</v>
      </c>
      <c r="K592">
        <f t="shared" si="28"/>
        <v>9</v>
      </c>
      <c r="L592">
        <f t="shared" si="27"/>
        <v>8</v>
      </c>
      <c r="M592" t="str">
        <f t="shared" si="29"/>
        <v>Children and Adolescent</v>
      </c>
    </row>
    <row r="593" spans="1:13" x14ac:dyDescent="0.25">
      <c r="A593" t="s">
        <v>1339</v>
      </c>
      <c r="B593" t="s">
        <v>1340</v>
      </c>
      <c r="C593" s="6">
        <v>16234</v>
      </c>
      <c r="D593" t="s">
        <v>27</v>
      </c>
      <c r="E593" t="s">
        <v>55</v>
      </c>
      <c r="F593" t="s">
        <v>56</v>
      </c>
      <c r="G593" t="s">
        <v>218</v>
      </c>
      <c r="H593" s="6">
        <v>45038</v>
      </c>
      <c r="I593" s="6">
        <v>45066</v>
      </c>
      <c r="J593" s="4">
        <v>2480.62</v>
      </c>
      <c r="K593">
        <f t="shared" si="28"/>
        <v>28</v>
      </c>
      <c r="L593">
        <f t="shared" si="27"/>
        <v>78</v>
      </c>
      <c r="M593" t="str">
        <f t="shared" si="29"/>
        <v>Older Adults</v>
      </c>
    </row>
    <row r="594" spans="1:13" x14ac:dyDescent="0.25">
      <c r="A594" t="s">
        <v>1341</v>
      </c>
      <c r="B594" t="s">
        <v>1342</v>
      </c>
      <c r="C594" s="6">
        <v>13857</v>
      </c>
      <c r="D594" t="s">
        <v>11</v>
      </c>
      <c r="E594" t="s">
        <v>271</v>
      </c>
      <c r="F594" t="s">
        <v>299</v>
      </c>
      <c r="G594" t="s">
        <v>385</v>
      </c>
      <c r="H594" s="6">
        <v>45039</v>
      </c>
      <c r="I594" s="6">
        <v>45056</v>
      </c>
      <c r="J594" s="4">
        <v>442.22</v>
      </c>
      <c r="K594">
        <f t="shared" si="28"/>
        <v>17</v>
      </c>
      <c r="L594">
        <f t="shared" si="27"/>
        <v>85</v>
      </c>
      <c r="M594" t="str">
        <f t="shared" si="29"/>
        <v>Older Adults</v>
      </c>
    </row>
    <row r="595" spans="1:13" x14ac:dyDescent="0.25">
      <c r="A595" t="s">
        <v>1343</v>
      </c>
      <c r="B595" t="s">
        <v>1344</v>
      </c>
      <c r="C595" s="6">
        <v>39840</v>
      </c>
      <c r="D595" t="s">
        <v>11</v>
      </c>
      <c r="E595" t="s">
        <v>97</v>
      </c>
      <c r="F595" t="s">
        <v>98</v>
      </c>
      <c r="G595" t="s">
        <v>221</v>
      </c>
      <c r="H595" s="6">
        <v>45039</v>
      </c>
      <c r="I595" s="6">
        <v>45055</v>
      </c>
      <c r="J595" s="4">
        <v>304.74</v>
      </c>
      <c r="K595">
        <f t="shared" si="28"/>
        <v>16</v>
      </c>
      <c r="L595">
        <f t="shared" si="27"/>
        <v>14</v>
      </c>
      <c r="M595" t="str">
        <f t="shared" si="29"/>
        <v>Children and Adolescent</v>
      </c>
    </row>
    <row r="596" spans="1:13" x14ac:dyDescent="0.25">
      <c r="A596" t="s">
        <v>1345</v>
      </c>
      <c r="B596" t="s">
        <v>1346</v>
      </c>
      <c r="C596" s="6">
        <v>42850</v>
      </c>
      <c r="D596" t="s">
        <v>11</v>
      </c>
      <c r="E596" t="s">
        <v>142</v>
      </c>
      <c r="F596" t="s">
        <v>110</v>
      </c>
      <c r="G596" t="s">
        <v>285</v>
      </c>
      <c r="H596" s="6">
        <v>45042</v>
      </c>
      <c r="I596" s="6">
        <v>45044</v>
      </c>
      <c r="J596" s="4">
        <v>1795.18</v>
      </c>
      <c r="K596">
        <f t="shared" si="28"/>
        <v>2</v>
      </c>
      <c r="L596">
        <f t="shared" si="27"/>
        <v>6</v>
      </c>
      <c r="M596" t="str">
        <f t="shared" si="29"/>
        <v>Children and Adolescent</v>
      </c>
    </row>
    <row r="597" spans="1:13" x14ac:dyDescent="0.25">
      <c r="A597" t="s">
        <v>1347</v>
      </c>
      <c r="B597" t="s">
        <v>1348</v>
      </c>
      <c r="C597" s="6">
        <v>16492</v>
      </c>
      <c r="D597" t="s">
        <v>11</v>
      </c>
      <c r="E597" t="s">
        <v>65</v>
      </c>
      <c r="F597" t="s">
        <v>518</v>
      </c>
      <c r="G597" t="s">
        <v>519</v>
      </c>
      <c r="H597" s="6">
        <v>45043</v>
      </c>
      <c r="I597" s="6">
        <v>45056</v>
      </c>
      <c r="J597" s="4">
        <v>285.76</v>
      </c>
      <c r="K597">
        <f t="shared" si="28"/>
        <v>13</v>
      </c>
      <c r="L597">
        <f t="shared" si="27"/>
        <v>78</v>
      </c>
      <c r="M597" t="str">
        <f t="shared" si="29"/>
        <v>Older Adults</v>
      </c>
    </row>
    <row r="598" spans="1:13" x14ac:dyDescent="0.25">
      <c r="A598" t="s">
        <v>1349</v>
      </c>
      <c r="B598" t="s">
        <v>1350</v>
      </c>
      <c r="C598" s="6">
        <v>9845</v>
      </c>
      <c r="D598" t="s">
        <v>27</v>
      </c>
      <c r="E598" t="s">
        <v>38</v>
      </c>
      <c r="F598" t="s">
        <v>39</v>
      </c>
      <c r="G598" t="s">
        <v>77</v>
      </c>
      <c r="H598" s="6">
        <v>45043</v>
      </c>
      <c r="I598" s="6">
        <v>45069</v>
      </c>
      <c r="J598" s="4">
        <v>3769.91</v>
      </c>
      <c r="K598">
        <f t="shared" si="28"/>
        <v>26</v>
      </c>
      <c r="L598">
        <f t="shared" si="27"/>
        <v>96</v>
      </c>
      <c r="M598" t="str">
        <f t="shared" si="29"/>
        <v>Older Adults</v>
      </c>
    </row>
    <row r="599" spans="1:13" x14ac:dyDescent="0.25">
      <c r="A599" t="s">
        <v>1351</v>
      </c>
      <c r="B599" t="s">
        <v>1352</v>
      </c>
      <c r="C599" s="6">
        <v>18051</v>
      </c>
      <c r="D599" t="s">
        <v>11</v>
      </c>
      <c r="E599" t="s">
        <v>47</v>
      </c>
      <c r="F599" t="s">
        <v>29</v>
      </c>
      <c r="G599" t="s">
        <v>341</v>
      </c>
      <c r="H599" s="6">
        <v>45043</v>
      </c>
      <c r="I599" s="6">
        <v>45058</v>
      </c>
      <c r="J599" s="4">
        <v>9115.1200000000008</v>
      </c>
      <c r="K599">
        <f t="shared" si="28"/>
        <v>15</v>
      </c>
      <c r="L599">
        <f t="shared" si="27"/>
        <v>73</v>
      </c>
      <c r="M599" t="str">
        <f t="shared" si="29"/>
        <v>Older Adults</v>
      </c>
    </row>
    <row r="600" spans="1:13" x14ac:dyDescent="0.25">
      <c r="A600" t="s">
        <v>1353</v>
      </c>
      <c r="B600" t="s">
        <v>1354</v>
      </c>
      <c r="C600" s="6">
        <v>23809</v>
      </c>
      <c r="D600" t="s">
        <v>27</v>
      </c>
      <c r="E600" t="s">
        <v>163</v>
      </c>
      <c r="F600" t="s">
        <v>13</v>
      </c>
      <c r="G600" t="s">
        <v>165</v>
      </c>
      <c r="H600" s="6">
        <v>45043</v>
      </c>
      <c r="I600" s="6">
        <v>45060</v>
      </c>
      <c r="J600" s="4">
        <v>43294.16</v>
      </c>
      <c r="K600">
        <f t="shared" si="28"/>
        <v>17</v>
      </c>
      <c r="L600">
        <f t="shared" si="27"/>
        <v>58</v>
      </c>
      <c r="M600" t="str">
        <f t="shared" si="29"/>
        <v>Adults</v>
      </c>
    </row>
    <row r="601" spans="1:13" x14ac:dyDescent="0.25">
      <c r="A601" t="s">
        <v>1355</v>
      </c>
      <c r="B601" t="s">
        <v>1356</v>
      </c>
      <c r="C601" s="6">
        <v>31388</v>
      </c>
      <c r="D601" t="s">
        <v>11</v>
      </c>
      <c r="E601" t="s">
        <v>84</v>
      </c>
      <c r="F601" t="s">
        <v>85</v>
      </c>
      <c r="G601" t="s">
        <v>238</v>
      </c>
      <c r="H601" s="6">
        <v>45044</v>
      </c>
      <c r="I601" s="6">
        <v>45058</v>
      </c>
      <c r="J601" s="4">
        <v>2069.83</v>
      </c>
      <c r="K601">
        <f t="shared" si="28"/>
        <v>14</v>
      </c>
      <c r="L601">
        <f t="shared" si="27"/>
        <v>37</v>
      </c>
      <c r="M601" t="str">
        <f t="shared" si="29"/>
        <v>Adults</v>
      </c>
    </row>
    <row r="602" spans="1:13" x14ac:dyDescent="0.25">
      <c r="A602" t="s">
        <v>1357</v>
      </c>
      <c r="B602" t="s">
        <v>1358</v>
      </c>
      <c r="C602" s="6">
        <v>8930</v>
      </c>
      <c r="D602" t="s">
        <v>27</v>
      </c>
      <c r="E602" t="s">
        <v>187</v>
      </c>
      <c r="F602" t="s">
        <v>188</v>
      </c>
      <c r="G602" t="s">
        <v>353</v>
      </c>
      <c r="H602" s="6">
        <v>45046</v>
      </c>
      <c r="I602" s="6">
        <v>45061</v>
      </c>
      <c r="J602" s="4">
        <v>13960.12</v>
      </c>
      <c r="K602">
        <f t="shared" si="28"/>
        <v>15</v>
      </c>
      <c r="L602">
        <f t="shared" si="27"/>
        <v>98</v>
      </c>
      <c r="M602" t="str">
        <f t="shared" si="29"/>
        <v>Older Adults</v>
      </c>
    </row>
    <row r="603" spans="1:13" x14ac:dyDescent="0.25">
      <c r="A603" t="s">
        <v>1359</v>
      </c>
      <c r="B603" t="s">
        <v>1360</v>
      </c>
      <c r="C603" s="6">
        <v>24340</v>
      </c>
      <c r="D603" t="s">
        <v>11</v>
      </c>
      <c r="E603" t="s">
        <v>152</v>
      </c>
      <c r="F603" t="s">
        <v>13</v>
      </c>
      <c r="G603" t="s">
        <v>195</v>
      </c>
      <c r="H603" s="6">
        <v>45047</v>
      </c>
      <c r="I603" s="6">
        <v>45069</v>
      </c>
      <c r="J603" s="4">
        <v>16412.48</v>
      </c>
      <c r="K603">
        <f t="shared" si="28"/>
        <v>22</v>
      </c>
      <c r="L603">
        <f t="shared" si="27"/>
        <v>56</v>
      </c>
      <c r="M603" t="str">
        <f t="shared" si="29"/>
        <v>Adults</v>
      </c>
    </row>
    <row r="604" spans="1:13" x14ac:dyDescent="0.25">
      <c r="A604" t="s">
        <v>1361</v>
      </c>
      <c r="B604" t="s">
        <v>1362</v>
      </c>
      <c r="C604" s="6">
        <v>39748</v>
      </c>
      <c r="D604" t="s">
        <v>11</v>
      </c>
      <c r="E604" t="s">
        <v>362</v>
      </c>
      <c r="F604" t="s">
        <v>172</v>
      </c>
      <c r="G604" t="s">
        <v>603</v>
      </c>
      <c r="H604" s="6">
        <v>45048</v>
      </c>
      <c r="I604" s="6">
        <v>45059</v>
      </c>
      <c r="J604" s="4">
        <v>15716.46</v>
      </c>
      <c r="K604">
        <f t="shared" si="28"/>
        <v>11</v>
      </c>
      <c r="L604">
        <f t="shared" si="27"/>
        <v>14</v>
      </c>
      <c r="M604" t="str">
        <f t="shared" si="29"/>
        <v>Children and Adolescent</v>
      </c>
    </row>
    <row r="605" spans="1:13" x14ac:dyDescent="0.25">
      <c r="A605" t="s">
        <v>1363</v>
      </c>
      <c r="B605" t="s">
        <v>1364</v>
      </c>
      <c r="C605" s="6">
        <v>15771</v>
      </c>
      <c r="D605" t="s">
        <v>11</v>
      </c>
      <c r="E605" t="s">
        <v>72</v>
      </c>
      <c r="F605" t="s">
        <v>73</v>
      </c>
      <c r="G605" t="s">
        <v>74</v>
      </c>
      <c r="H605" s="6">
        <v>45048</v>
      </c>
      <c r="I605" s="6">
        <v>45062</v>
      </c>
      <c r="J605" s="4">
        <v>2780.83</v>
      </c>
      <c r="K605">
        <f t="shared" si="28"/>
        <v>14</v>
      </c>
      <c r="L605">
        <f t="shared" si="27"/>
        <v>80</v>
      </c>
      <c r="M605" t="str">
        <f t="shared" si="29"/>
        <v>Older Adults</v>
      </c>
    </row>
    <row r="606" spans="1:13" x14ac:dyDescent="0.25">
      <c r="A606" t="s">
        <v>1365</v>
      </c>
      <c r="B606" t="s">
        <v>1366</v>
      </c>
      <c r="C606" s="6">
        <v>30319</v>
      </c>
      <c r="D606" t="s">
        <v>27</v>
      </c>
      <c r="E606" t="s">
        <v>102</v>
      </c>
      <c r="F606" t="s">
        <v>528</v>
      </c>
      <c r="G606" t="s">
        <v>160</v>
      </c>
      <c r="H606" s="6">
        <v>45049</v>
      </c>
      <c r="I606" s="6">
        <v>45075</v>
      </c>
      <c r="J606" s="4">
        <v>48494.96</v>
      </c>
      <c r="K606">
        <f t="shared" si="28"/>
        <v>26</v>
      </c>
      <c r="L606">
        <f t="shared" si="27"/>
        <v>40</v>
      </c>
      <c r="M606" t="str">
        <f t="shared" si="29"/>
        <v>Adults</v>
      </c>
    </row>
    <row r="607" spans="1:13" x14ac:dyDescent="0.25">
      <c r="A607" t="s">
        <v>1367</v>
      </c>
      <c r="B607" t="s">
        <v>1368</v>
      </c>
      <c r="C607" s="6">
        <v>23857</v>
      </c>
      <c r="D607" t="s">
        <v>11</v>
      </c>
      <c r="E607" t="s">
        <v>55</v>
      </c>
      <c r="F607" t="s">
        <v>217</v>
      </c>
      <c r="G607" t="s">
        <v>228</v>
      </c>
      <c r="H607" s="6">
        <v>45049</v>
      </c>
      <c r="I607" s="6">
        <v>45055</v>
      </c>
      <c r="J607" s="4">
        <v>4063</v>
      </c>
      <c r="K607">
        <f t="shared" si="28"/>
        <v>6</v>
      </c>
      <c r="L607">
        <f t="shared" si="27"/>
        <v>58</v>
      </c>
      <c r="M607" t="str">
        <f t="shared" si="29"/>
        <v>Adults</v>
      </c>
    </row>
    <row r="608" spans="1:13" x14ac:dyDescent="0.25">
      <c r="A608" t="s">
        <v>1369</v>
      </c>
      <c r="B608" t="s">
        <v>1370</v>
      </c>
      <c r="C608" s="6">
        <v>29881</v>
      </c>
      <c r="D608" t="s">
        <v>27</v>
      </c>
      <c r="E608" t="s">
        <v>362</v>
      </c>
      <c r="F608" t="s">
        <v>172</v>
      </c>
      <c r="G608" t="s">
        <v>659</v>
      </c>
      <c r="H608" s="6">
        <v>45049</v>
      </c>
      <c r="I608" s="6">
        <v>45052</v>
      </c>
      <c r="J608" s="4">
        <v>5213.6899999999996</v>
      </c>
      <c r="K608">
        <f t="shared" si="28"/>
        <v>3</v>
      </c>
      <c r="L608">
        <f t="shared" si="27"/>
        <v>41</v>
      </c>
      <c r="M608" t="str">
        <f t="shared" si="29"/>
        <v>Adults</v>
      </c>
    </row>
    <row r="609" spans="1:13" x14ac:dyDescent="0.25">
      <c r="A609" t="s">
        <v>1371</v>
      </c>
      <c r="B609" t="s">
        <v>1372</v>
      </c>
      <c r="C609" s="6">
        <v>36797</v>
      </c>
      <c r="D609" t="s">
        <v>11</v>
      </c>
      <c r="E609" t="s">
        <v>28</v>
      </c>
      <c r="F609" t="s">
        <v>29</v>
      </c>
      <c r="G609" t="s">
        <v>124</v>
      </c>
      <c r="H609" s="6">
        <v>45049</v>
      </c>
      <c r="I609" s="6">
        <v>45064</v>
      </c>
      <c r="J609" s="4">
        <v>24069</v>
      </c>
      <c r="K609">
        <f t="shared" si="28"/>
        <v>15</v>
      </c>
      <c r="L609">
        <f t="shared" si="27"/>
        <v>22</v>
      </c>
      <c r="M609" t="str">
        <f t="shared" si="29"/>
        <v>Young Adults</v>
      </c>
    </row>
    <row r="610" spans="1:13" x14ac:dyDescent="0.25">
      <c r="A610" s="1" t="s">
        <v>1373</v>
      </c>
      <c r="B610" t="s">
        <v>1374</v>
      </c>
      <c r="C610" s="6">
        <v>33497</v>
      </c>
      <c r="D610" t="s">
        <v>11</v>
      </c>
      <c r="E610" t="s">
        <v>120</v>
      </c>
      <c r="F610" t="s">
        <v>103</v>
      </c>
      <c r="G610" t="s">
        <v>306</v>
      </c>
      <c r="H610" s="6">
        <v>45049</v>
      </c>
      <c r="I610" s="6">
        <v>45075</v>
      </c>
      <c r="J610" s="4">
        <v>1395.34</v>
      </c>
      <c r="K610">
        <f t="shared" si="28"/>
        <v>26</v>
      </c>
      <c r="L610">
        <f t="shared" si="27"/>
        <v>31</v>
      </c>
      <c r="M610" t="str">
        <f t="shared" si="29"/>
        <v>Adults</v>
      </c>
    </row>
    <row r="611" spans="1:13" x14ac:dyDescent="0.25">
      <c r="A611" t="s">
        <v>1375</v>
      </c>
      <c r="B611" t="s">
        <v>1376</v>
      </c>
      <c r="C611" s="6">
        <v>13173</v>
      </c>
      <c r="D611" t="s">
        <v>11</v>
      </c>
      <c r="E611" t="s">
        <v>271</v>
      </c>
      <c r="F611" t="s">
        <v>272</v>
      </c>
      <c r="G611" t="s">
        <v>313</v>
      </c>
      <c r="H611" s="6">
        <v>45049</v>
      </c>
      <c r="I611" s="6">
        <v>45055</v>
      </c>
      <c r="J611" s="4">
        <v>422.71</v>
      </c>
      <c r="K611">
        <f t="shared" si="28"/>
        <v>6</v>
      </c>
      <c r="L611">
        <f t="shared" si="27"/>
        <v>87</v>
      </c>
      <c r="M611" t="str">
        <f t="shared" si="29"/>
        <v>Older Adults</v>
      </c>
    </row>
    <row r="612" spans="1:13" x14ac:dyDescent="0.25">
      <c r="A612" t="s">
        <v>1377</v>
      </c>
      <c r="B612" t="s">
        <v>1378</v>
      </c>
      <c r="C612" s="6">
        <v>35933</v>
      </c>
      <c r="D612" t="s">
        <v>11</v>
      </c>
      <c r="E612" t="s">
        <v>60</v>
      </c>
      <c r="F612" t="s">
        <v>188</v>
      </c>
      <c r="G612" t="s">
        <v>89</v>
      </c>
      <c r="H612" s="6">
        <v>45050</v>
      </c>
      <c r="I612" s="6">
        <v>45058</v>
      </c>
      <c r="J612" s="4">
        <v>82968.960000000006</v>
      </c>
      <c r="K612">
        <f t="shared" si="28"/>
        <v>8</v>
      </c>
      <c r="L612">
        <f t="shared" si="27"/>
        <v>24</v>
      </c>
      <c r="M612" t="str">
        <f t="shared" si="29"/>
        <v>Young Adults</v>
      </c>
    </row>
    <row r="613" spans="1:13" x14ac:dyDescent="0.25">
      <c r="A613" t="s">
        <v>1379</v>
      </c>
      <c r="B613" t="s">
        <v>1380</v>
      </c>
      <c r="C613" s="6">
        <v>22809</v>
      </c>
      <c r="D613" t="s">
        <v>27</v>
      </c>
      <c r="E613" t="s">
        <v>92</v>
      </c>
      <c r="F613" t="s">
        <v>93</v>
      </c>
      <c r="G613" t="s">
        <v>94</v>
      </c>
      <c r="H613" s="6">
        <v>45053</v>
      </c>
      <c r="I613" s="6">
        <v>45054</v>
      </c>
      <c r="J613" s="4">
        <v>2053.0500000000002</v>
      </c>
      <c r="K613">
        <f t="shared" si="28"/>
        <v>1</v>
      </c>
      <c r="L613">
        <f t="shared" si="27"/>
        <v>60</v>
      </c>
      <c r="M613" t="str">
        <f t="shared" si="29"/>
        <v>Older Adults</v>
      </c>
    </row>
    <row r="614" spans="1:13" x14ac:dyDescent="0.25">
      <c r="A614" t="s">
        <v>1381</v>
      </c>
      <c r="B614" t="s">
        <v>1382</v>
      </c>
      <c r="C614" s="6">
        <v>23714</v>
      </c>
      <c r="D614" t="s">
        <v>11</v>
      </c>
      <c r="E614" t="s">
        <v>80</v>
      </c>
      <c r="F614" t="s">
        <v>13</v>
      </c>
      <c r="G614" t="s">
        <v>81</v>
      </c>
      <c r="H614" s="6">
        <v>45056</v>
      </c>
      <c r="I614" s="6">
        <v>45079</v>
      </c>
      <c r="J614" s="4">
        <v>14147.35</v>
      </c>
      <c r="K614">
        <f t="shared" si="28"/>
        <v>23</v>
      </c>
      <c r="L614">
        <f t="shared" si="27"/>
        <v>58</v>
      </c>
      <c r="M614" t="str">
        <f t="shared" si="29"/>
        <v>Adults</v>
      </c>
    </row>
    <row r="615" spans="1:13" x14ac:dyDescent="0.25">
      <c r="A615" t="s">
        <v>1383</v>
      </c>
      <c r="B615" t="s">
        <v>1384</v>
      </c>
      <c r="C615" s="6">
        <v>12678</v>
      </c>
      <c r="D615" t="s">
        <v>11</v>
      </c>
      <c r="E615" t="s">
        <v>72</v>
      </c>
      <c r="F615" t="s">
        <v>13</v>
      </c>
      <c r="G615" t="s">
        <v>331</v>
      </c>
      <c r="H615" s="6">
        <v>45057</v>
      </c>
      <c r="I615" s="6">
        <v>45058</v>
      </c>
      <c r="J615" s="4">
        <v>3486.71</v>
      </c>
      <c r="K615">
        <f t="shared" si="28"/>
        <v>1</v>
      </c>
      <c r="L615">
        <f t="shared" si="27"/>
        <v>88</v>
      </c>
      <c r="M615" t="str">
        <f t="shared" si="29"/>
        <v>Older Adults</v>
      </c>
    </row>
    <row r="616" spans="1:13" x14ac:dyDescent="0.25">
      <c r="A616" t="s">
        <v>1385</v>
      </c>
      <c r="B616" t="s">
        <v>1386</v>
      </c>
      <c r="C616" s="6">
        <v>16908</v>
      </c>
      <c r="D616" t="s">
        <v>27</v>
      </c>
      <c r="E616" t="s">
        <v>271</v>
      </c>
      <c r="F616" t="s">
        <v>299</v>
      </c>
      <c r="G616" t="s">
        <v>273</v>
      </c>
      <c r="H616" s="6">
        <v>45057</v>
      </c>
      <c r="I616" s="6">
        <v>45082</v>
      </c>
      <c r="J616" s="4">
        <v>797.81</v>
      </c>
      <c r="K616">
        <f t="shared" si="28"/>
        <v>25</v>
      </c>
      <c r="L616">
        <f t="shared" si="27"/>
        <v>77</v>
      </c>
      <c r="M616" t="str">
        <f t="shared" si="29"/>
        <v>Older Adults</v>
      </c>
    </row>
    <row r="617" spans="1:13" x14ac:dyDescent="0.25">
      <c r="A617" t="s">
        <v>1387</v>
      </c>
      <c r="B617" t="s">
        <v>1388</v>
      </c>
      <c r="C617" s="6">
        <v>44474</v>
      </c>
      <c r="D617" t="s">
        <v>27</v>
      </c>
      <c r="E617" t="s">
        <v>17</v>
      </c>
      <c r="F617" t="s">
        <v>34</v>
      </c>
      <c r="G617" t="s">
        <v>19</v>
      </c>
      <c r="H617" s="6">
        <v>45058</v>
      </c>
      <c r="I617" s="6">
        <v>45080</v>
      </c>
      <c r="J617" s="4">
        <v>2864.79</v>
      </c>
      <c r="K617">
        <f t="shared" si="28"/>
        <v>22</v>
      </c>
      <c r="L617">
        <f t="shared" si="27"/>
        <v>1</v>
      </c>
      <c r="M617" t="str">
        <f t="shared" si="29"/>
        <v>Early childhood</v>
      </c>
    </row>
    <row r="618" spans="1:13" x14ac:dyDescent="0.25">
      <c r="A618" t="s">
        <v>1389</v>
      </c>
      <c r="B618" t="s">
        <v>1390</v>
      </c>
      <c r="C618" s="6">
        <v>20874</v>
      </c>
      <c r="D618" t="s">
        <v>27</v>
      </c>
      <c r="E618" t="s">
        <v>17</v>
      </c>
      <c r="F618" t="s">
        <v>18</v>
      </c>
      <c r="G618" t="s">
        <v>19</v>
      </c>
      <c r="H618" s="6">
        <v>45058</v>
      </c>
      <c r="I618" s="6">
        <v>45061</v>
      </c>
      <c r="J618" s="4">
        <v>1338.19</v>
      </c>
      <c r="K618">
        <f t="shared" si="28"/>
        <v>3</v>
      </c>
      <c r="L618">
        <f t="shared" si="27"/>
        <v>66</v>
      </c>
      <c r="M618" t="str">
        <f t="shared" si="29"/>
        <v>Older Adults</v>
      </c>
    </row>
    <row r="619" spans="1:13" x14ac:dyDescent="0.25">
      <c r="A619" t="s">
        <v>1391</v>
      </c>
      <c r="B619" t="s">
        <v>1392</v>
      </c>
      <c r="C619" s="6">
        <v>19320</v>
      </c>
      <c r="D619" t="s">
        <v>27</v>
      </c>
      <c r="E619" t="s">
        <v>51</v>
      </c>
      <c r="F619" t="s">
        <v>13</v>
      </c>
      <c r="G619" t="s">
        <v>662</v>
      </c>
      <c r="H619" s="6">
        <v>45059</v>
      </c>
      <c r="I619" s="6">
        <v>45064</v>
      </c>
      <c r="J619" s="4">
        <v>3320.98</v>
      </c>
      <c r="K619">
        <f t="shared" si="28"/>
        <v>5</v>
      </c>
      <c r="L619">
        <f t="shared" si="27"/>
        <v>70</v>
      </c>
      <c r="M619" t="str">
        <f t="shared" si="29"/>
        <v>Older Adults</v>
      </c>
    </row>
    <row r="620" spans="1:13" x14ac:dyDescent="0.25">
      <c r="A620" t="s">
        <v>1393</v>
      </c>
      <c r="B620" t="s">
        <v>1394</v>
      </c>
      <c r="C620" s="6">
        <v>16867</v>
      </c>
      <c r="D620" t="s">
        <v>27</v>
      </c>
      <c r="E620" t="s">
        <v>127</v>
      </c>
      <c r="F620" t="s">
        <v>114</v>
      </c>
      <c r="G620" t="s">
        <v>510</v>
      </c>
      <c r="H620" s="6">
        <v>45061</v>
      </c>
      <c r="I620" s="6">
        <v>45081</v>
      </c>
      <c r="J620" s="4">
        <v>1941.91</v>
      </c>
      <c r="K620">
        <f t="shared" si="28"/>
        <v>20</v>
      </c>
      <c r="L620">
        <f t="shared" si="27"/>
        <v>77</v>
      </c>
      <c r="M620" t="str">
        <f t="shared" si="29"/>
        <v>Older Adults</v>
      </c>
    </row>
    <row r="621" spans="1:13" x14ac:dyDescent="0.25">
      <c r="A621" t="s">
        <v>1395</v>
      </c>
      <c r="B621" t="s">
        <v>1396</v>
      </c>
      <c r="C621" s="6">
        <v>30637</v>
      </c>
      <c r="D621" t="s">
        <v>27</v>
      </c>
      <c r="E621" t="s">
        <v>281</v>
      </c>
      <c r="F621" t="s">
        <v>13</v>
      </c>
      <c r="G621" t="s">
        <v>282</v>
      </c>
      <c r="H621" s="6">
        <v>45061</v>
      </c>
      <c r="I621" s="6">
        <v>45086</v>
      </c>
      <c r="J621" s="4">
        <v>19990.04</v>
      </c>
      <c r="K621">
        <f t="shared" si="28"/>
        <v>25</v>
      </c>
      <c r="L621">
        <f t="shared" si="27"/>
        <v>39</v>
      </c>
      <c r="M621" t="str">
        <f t="shared" si="29"/>
        <v>Adults</v>
      </c>
    </row>
    <row r="622" spans="1:13" x14ac:dyDescent="0.25">
      <c r="A622" t="s">
        <v>1397</v>
      </c>
      <c r="B622" t="s">
        <v>1398</v>
      </c>
      <c r="C622" s="6">
        <v>39592</v>
      </c>
      <c r="D622" t="s">
        <v>27</v>
      </c>
      <c r="E622" t="s">
        <v>187</v>
      </c>
      <c r="F622" t="s">
        <v>188</v>
      </c>
      <c r="G622" t="s">
        <v>353</v>
      </c>
      <c r="H622" s="6">
        <v>45062</v>
      </c>
      <c r="I622" s="6">
        <v>45087</v>
      </c>
      <c r="J622" s="4">
        <v>11226.83</v>
      </c>
      <c r="K622">
        <f t="shared" si="28"/>
        <v>25</v>
      </c>
      <c r="L622">
        <f t="shared" si="27"/>
        <v>14</v>
      </c>
      <c r="M622" t="str">
        <f t="shared" si="29"/>
        <v>Children and Adolescent</v>
      </c>
    </row>
    <row r="623" spans="1:13" x14ac:dyDescent="0.25">
      <c r="A623" t="s">
        <v>1399</v>
      </c>
      <c r="B623" t="s">
        <v>1400</v>
      </c>
      <c r="C623" s="6">
        <v>40706</v>
      </c>
      <c r="D623" t="s">
        <v>11</v>
      </c>
      <c r="E623" t="s">
        <v>80</v>
      </c>
      <c r="F623" t="s">
        <v>13</v>
      </c>
      <c r="G623" t="s">
        <v>444</v>
      </c>
      <c r="H623" s="6">
        <v>45063</v>
      </c>
      <c r="I623" s="6">
        <v>45092</v>
      </c>
      <c r="J623" s="4">
        <v>15241.36</v>
      </c>
      <c r="K623">
        <f t="shared" si="28"/>
        <v>29</v>
      </c>
      <c r="L623">
        <f t="shared" si="27"/>
        <v>11</v>
      </c>
      <c r="M623" t="str">
        <f t="shared" si="29"/>
        <v>Children and Adolescent</v>
      </c>
    </row>
    <row r="624" spans="1:13" x14ac:dyDescent="0.25">
      <c r="A624" t="s">
        <v>1401</v>
      </c>
      <c r="B624" t="s">
        <v>1402</v>
      </c>
      <c r="C624" s="6">
        <v>19396</v>
      </c>
      <c r="D624" t="s">
        <v>11</v>
      </c>
      <c r="E624" t="s">
        <v>51</v>
      </c>
      <c r="F624" t="s">
        <v>29</v>
      </c>
      <c r="G624" t="s">
        <v>662</v>
      </c>
      <c r="H624" s="6">
        <v>45063</v>
      </c>
      <c r="I624" s="6">
        <v>45085</v>
      </c>
      <c r="J624" s="4">
        <v>2575.8000000000002</v>
      </c>
      <c r="K624">
        <f t="shared" si="28"/>
        <v>22</v>
      </c>
      <c r="L624">
        <f t="shared" si="27"/>
        <v>70</v>
      </c>
      <c r="M624" t="str">
        <f t="shared" si="29"/>
        <v>Older Adults</v>
      </c>
    </row>
    <row r="625" spans="1:13" x14ac:dyDescent="0.25">
      <c r="A625" t="s">
        <v>1403</v>
      </c>
      <c r="B625" t="s">
        <v>1404</v>
      </c>
      <c r="C625" s="6">
        <v>24534</v>
      </c>
      <c r="D625" t="s">
        <v>11</v>
      </c>
      <c r="E625" t="s">
        <v>178</v>
      </c>
      <c r="F625" t="s">
        <v>179</v>
      </c>
      <c r="G625" t="s">
        <v>434</v>
      </c>
      <c r="H625" s="6">
        <v>45067</v>
      </c>
      <c r="I625" s="6">
        <v>45092</v>
      </c>
      <c r="J625" s="4">
        <v>651.95000000000005</v>
      </c>
      <c r="K625">
        <f t="shared" si="28"/>
        <v>25</v>
      </c>
      <c r="L625">
        <f t="shared" si="27"/>
        <v>56</v>
      </c>
      <c r="M625" t="str">
        <f t="shared" si="29"/>
        <v>Adults</v>
      </c>
    </row>
    <row r="626" spans="1:13" x14ac:dyDescent="0.25">
      <c r="A626" t="s">
        <v>1405</v>
      </c>
      <c r="B626" t="s">
        <v>1406</v>
      </c>
      <c r="C626" s="6">
        <v>36087</v>
      </c>
      <c r="D626" t="s">
        <v>27</v>
      </c>
      <c r="E626" t="s">
        <v>65</v>
      </c>
      <c r="F626" t="s">
        <v>518</v>
      </c>
      <c r="G626" t="s">
        <v>66</v>
      </c>
      <c r="H626" s="6">
        <v>45069</v>
      </c>
      <c r="I626" s="6">
        <v>45087</v>
      </c>
      <c r="J626" s="4">
        <v>274.45</v>
      </c>
      <c r="K626">
        <f t="shared" si="28"/>
        <v>18</v>
      </c>
      <c r="L626">
        <f t="shared" si="27"/>
        <v>24</v>
      </c>
      <c r="M626" t="str">
        <f t="shared" si="29"/>
        <v>Young Adults</v>
      </c>
    </row>
    <row r="627" spans="1:13" x14ac:dyDescent="0.25">
      <c r="A627" t="s">
        <v>1407</v>
      </c>
      <c r="B627" t="s">
        <v>1408</v>
      </c>
      <c r="C627" s="6">
        <v>40362</v>
      </c>
      <c r="D627" t="s">
        <v>11</v>
      </c>
      <c r="E627" t="s">
        <v>97</v>
      </c>
      <c r="F627" t="s">
        <v>98</v>
      </c>
      <c r="G627" t="s">
        <v>221</v>
      </c>
      <c r="H627" s="6">
        <v>45070</v>
      </c>
      <c r="I627" s="6">
        <v>45092</v>
      </c>
      <c r="J627" s="4">
        <v>891.91</v>
      </c>
      <c r="K627">
        <f t="shared" si="28"/>
        <v>22</v>
      </c>
      <c r="L627">
        <f t="shared" si="27"/>
        <v>12</v>
      </c>
      <c r="M627" t="str">
        <f t="shared" si="29"/>
        <v>Children and Adolescent</v>
      </c>
    </row>
    <row r="628" spans="1:13" x14ac:dyDescent="0.25">
      <c r="A628" t="s">
        <v>1409</v>
      </c>
      <c r="B628" t="s">
        <v>1410</v>
      </c>
      <c r="C628" s="6">
        <v>18847</v>
      </c>
      <c r="D628" t="s">
        <v>11</v>
      </c>
      <c r="E628" t="s">
        <v>142</v>
      </c>
      <c r="F628" t="s">
        <v>114</v>
      </c>
      <c r="G628" t="s">
        <v>285</v>
      </c>
      <c r="H628" s="6">
        <v>45072</v>
      </c>
      <c r="I628" s="6">
        <v>45080</v>
      </c>
      <c r="J628" s="4">
        <v>2831.57</v>
      </c>
      <c r="K628">
        <f t="shared" si="28"/>
        <v>8</v>
      </c>
      <c r="L628">
        <f t="shared" si="27"/>
        <v>71</v>
      </c>
      <c r="M628" t="str">
        <f t="shared" si="29"/>
        <v>Older Adults</v>
      </c>
    </row>
    <row r="629" spans="1:13" x14ac:dyDescent="0.25">
      <c r="A629" t="s">
        <v>1411</v>
      </c>
      <c r="B629" t="s">
        <v>1412</v>
      </c>
      <c r="C629" s="6">
        <v>16186</v>
      </c>
      <c r="D629" t="s">
        <v>27</v>
      </c>
      <c r="E629" t="s">
        <v>60</v>
      </c>
      <c r="F629" t="s">
        <v>188</v>
      </c>
      <c r="G629" t="s">
        <v>149</v>
      </c>
      <c r="H629" s="6">
        <v>45073</v>
      </c>
      <c r="I629" s="6">
        <v>45098</v>
      </c>
      <c r="J629" s="4">
        <v>41935.279999999999</v>
      </c>
      <c r="K629">
        <f t="shared" si="28"/>
        <v>25</v>
      </c>
      <c r="L629">
        <f t="shared" si="27"/>
        <v>79</v>
      </c>
      <c r="M629" t="str">
        <f t="shared" si="29"/>
        <v>Older Adults</v>
      </c>
    </row>
    <row r="630" spans="1:13" x14ac:dyDescent="0.25">
      <c r="A630" t="s">
        <v>1413</v>
      </c>
      <c r="B630" t="s">
        <v>1414</v>
      </c>
      <c r="C630" s="6">
        <v>44575</v>
      </c>
      <c r="D630" t="s">
        <v>11</v>
      </c>
      <c r="E630" t="s">
        <v>51</v>
      </c>
      <c r="F630" t="s">
        <v>29</v>
      </c>
      <c r="G630" t="s">
        <v>662</v>
      </c>
      <c r="H630" s="6">
        <v>45078</v>
      </c>
      <c r="I630" s="6">
        <v>45101</v>
      </c>
      <c r="J630" s="4">
        <v>9168.7099999999991</v>
      </c>
      <c r="K630">
        <f t="shared" si="28"/>
        <v>23</v>
      </c>
      <c r="L630">
        <f t="shared" si="27"/>
        <v>1</v>
      </c>
      <c r="M630" t="str">
        <f t="shared" si="29"/>
        <v>Early childhood</v>
      </c>
    </row>
    <row r="631" spans="1:13" x14ac:dyDescent="0.25">
      <c r="A631" t="s">
        <v>1415</v>
      </c>
      <c r="B631" t="s">
        <v>1416</v>
      </c>
      <c r="C631" s="6">
        <v>32195</v>
      </c>
      <c r="D631" t="s">
        <v>11</v>
      </c>
      <c r="E631" t="s">
        <v>72</v>
      </c>
      <c r="F631" t="s">
        <v>34</v>
      </c>
      <c r="G631" t="s">
        <v>74</v>
      </c>
      <c r="H631" s="6">
        <v>45079</v>
      </c>
      <c r="I631" s="6">
        <v>45086</v>
      </c>
      <c r="J631" s="4">
        <v>9154.36</v>
      </c>
      <c r="K631">
        <f t="shared" si="28"/>
        <v>7</v>
      </c>
      <c r="L631">
        <f t="shared" si="27"/>
        <v>35</v>
      </c>
      <c r="M631" t="str">
        <f t="shared" si="29"/>
        <v>Adults</v>
      </c>
    </row>
    <row r="632" spans="1:13" x14ac:dyDescent="0.25">
      <c r="A632" t="s">
        <v>1417</v>
      </c>
      <c r="B632" t="s">
        <v>1418</v>
      </c>
      <c r="C632" s="6">
        <v>12737</v>
      </c>
      <c r="D632" t="s">
        <v>27</v>
      </c>
      <c r="E632" t="s">
        <v>55</v>
      </c>
      <c r="F632" t="s">
        <v>56</v>
      </c>
      <c r="G632" t="s">
        <v>228</v>
      </c>
      <c r="H632" s="6">
        <v>45079</v>
      </c>
      <c r="I632" s="6">
        <v>45108</v>
      </c>
      <c r="J632" s="4">
        <v>2122.67</v>
      </c>
      <c r="K632">
        <f t="shared" si="28"/>
        <v>29</v>
      </c>
      <c r="L632">
        <f t="shared" si="27"/>
        <v>88</v>
      </c>
      <c r="M632" t="str">
        <f t="shared" si="29"/>
        <v>Older Adults</v>
      </c>
    </row>
    <row r="633" spans="1:13" x14ac:dyDescent="0.25">
      <c r="A633" t="s">
        <v>1419</v>
      </c>
      <c r="B633" t="s">
        <v>1420</v>
      </c>
      <c r="C633" s="6">
        <v>43554</v>
      </c>
      <c r="D633" t="s">
        <v>11</v>
      </c>
      <c r="E633" t="s">
        <v>12</v>
      </c>
      <c r="F633" t="s">
        <v>13</v>
      </c>
      <c r="G633" t="s">
        <v>69</v>
      </c>
      <c r="H633" s="6">
        <v>45079</v>
      </c>
      <c r="I633" s="6">
        <v>45100</v>
      </c>
      <c r="J633" s="4">
        <v>19191.59</v>
      </c>
      <c r="K633">
        <f t="shared" si="28"/>
        <v>21</v>
      </c>
      <c r="L633">
        <f t="shared" si="27"/>
        <v>4</v>
      </c>
      <c r="M633" t="str">
        <f t="shared" si="29"/>
        <v>Early childhood</v>
      </c>
    </row>
    <row r="634" spans="1:13" x14ac:dyDescent="0.25">
      <c r="A634" t="s">
        <v>1421</v>
      </c>
      <c r="B634" t="s">
        <v>1422</v>
      </c>
      <c r="C634" s="6">
        <v>34329</v>
      </c>
      <c r="D634" t="s">
        <v>27</v>
      </c>
      <c r="E634" t="s">
        <v>51</v>
      </c>
      <c r="F634" t="s">
        <v>13</v>
      </c>
      <c r="G634" t="s">
        <v>473</v>
      </c>
      <c r="H634" s="6">
        <v>45084</v>
      </c>
      <c r="I634" s="6">
        <v>45103</v>
      </c>
      <c r="J634" s="4">
        <v>9490.49</v>
      </c>
      <c r="K634">
        <f t="shared" si="28"/>
        <v>19</v>
      </c>
      <c r="L634">
        <f t="shared" si="27"/>
        <v>29</v>
      </c>
      <c r="M634" t="str">
        <f t="shared" si="29"/>
        <v>Adults</v>
      </c>
    </row>
    <row r="635" spans="1:13" x14ac:dyDescent="0.25">
      <c r="A635" t="s">
        <v>1423</v>
      </c>
      <c r="B635" t="s">
        <v>1424</v>
      </c>
      <c r="C635" s="6">
        <v>16315</v>
      </c>
      <c r="D635" t="s">
        <v>11</v>
      </c>
      <c r="E635" t="s">
        <v>102</v>
      </c>
      <c r="F635" t="s">
        <v>103</v>
      </c>
      <c r="G635" t="s">
        <v>529</v>
      </c>
      <c r="H635" s="6">
        <v>45085</v>
      </c>
      <c r="I635" s="6">
        <v>45110</v>
      </c>
      <c r="J635" s="4">
        <v>42218.98</v>
      </c>
      <c r="K635">
        <f t="shared" si="28"/>
        <v>25</v>
      </c>
      <c r="L635">
        <f t="shared" si="27"/>
        <v>78</v>
      </c>
      <c r="M635" t="str">
        <f t="shared" si="29"/>
        <v>Older Adults</v>
      </c>
    </row>
    <row r="636" spans="1:13" x14ac:dyDescent="0.25">
      <c r="A636" t="s">
        <v>1425</v>
      </c>
      <c r="B636" t="s">
        <v>1426</v>
      </c>
      <c r="C636" s="6">
        <v>34861</v>
      </c>
      <c r="D636" t="s">
        <v>11</v>
      </c>
      <c r="E636" t="s">
        <v>28</v>
      </c>
      <c r="F636" t="s">
        <v>43</v>
      </c>
      <c r="G636" t="s">
        <v>44</v>
      </c>
      <c r="H636" s="6">
        <v>45087</v>
      </c>
      <c r="I636" s="6">
        <v>45110</v>
      </c>
      <c r="J636" s="4">
        <v>17028.240000000002</v>
      </c>
      <c r="K636">
        <f t="shared" si="28"/>
        <v>23</v>
      </c>
      <c r="L636">
        <f t="shared" si="27"/>
        <v>27</v>
      </c>
      <c r="M636" t="str">
        <f t="shared" si="29"/>
        <v>Adults</v>
      </c>
    </row>
    <row r="637" spans="1:13" x14ac:dyDescent="0.25">
      <c r="A637" t="s">
        <v>1427</v>
      </c>
      <c r="B637" t="s">
        <v>1428</v>
      </c>
      <c r="C637" s="6">
        <v>9955</v>
      </c>
      <c r="D637" t="s">
        <v>27</v>
      </c>
      <c r="E637" t="s">
        <v>38</v>
      </c>
      <c r="F637" t="s">
        <v>39</v>
      </c>
      <c r="G637" t="s">
        <v>40</v>
      </c>
      <c r="H637" s="6">
        <v>45088</v>
      </c>
      <c r="I637" s="6">
        <v>45110</v>
      </c>
      <c r="J637" s="4">
        <v>2267.96</v>
      </c>
      <c r="K637">
        <f t="shared" si="28"/>
        <v>22</v>
      </c>
      <c r="L637">
        <f t="shared" si="27"/>
        <v>96</v>
      </c>
      <c r="M637" t="str">
        <f t="shared" si="29"/>
        <v>Older Adults</v>
      </c>
    </row>
    <row r="638" spans="1:13" x14ac:dyDescent="0.25">
      <c r="A638" t="s">
        <v>1429</v>
      </c>
      <c r="B638" t="s">
        <v>1430</v>
      </c>
      <c r="C638" s="6">
        <v>12705</v>
      </c>
      <c r="D638" t="s">
        <v>27</v>
      </c>
      <c r="E638" t="s">
        <v>72</v>
      </c>
      <c r="F638" t="s">
        <v>34</v>
      </c>
      <c r="G638" t="s">
        <v>278</v>
      </c>
      <c r="H638" s="6">
        <v>45089</v>
      </c>
      <c r="I638" s="6">
        <v>45107</v>
      </c>
      <c r="J638" s="4">
        <v>7269.35</v>
      </c>
      <c r="K638">
        <f t="shared" si="28"/>
        <v>18</v>
      </c>
      <c r="L638">
        <f t="shared" si="27"/>
        <v>88</v>
      </c>
      <c r="M638" t="str">
        <f t="shared" si="29"/>
        <v>Older Adults</v>
      </c>
    </row>
    <row r="639" spans="1:13" x14ac:dyDescent="0.25">
      <c r="A639" t="s">
        <v>1431</v>
      </c>
      <c r="B639" t="s">
        <v>1432</v>
      </c>
      <c r="C639" s="6">
        <v>9944</v>
      </c>
      <c r="D639" t="s">
        <v>11</v>
      </c>
      <c r="E639" t="s">
        <v>102</v>
      </c>
      <c r="F639" t="s">
        <v>172</v>
      </c>
      <c r="G639" t="s">
        <v>104</v>
      </c>
      <c r="H639" s="6">
        <v>45089</v>
      </c>
      <c r="I639" s="6">
        <v>45092</v>
      </c>
      <c r="J639" s="4">
        <v>16291.35</v>
      </c>
      <c r="K639">
        <f t="shared" si="28"/>
        <v>3</v>
      </c>
      <c r="L639">
        <f t="shared" si="27"/>
        <v>96</v>
      </c>
      <c r="M639" t="str">
        <f t="shared" si="29"/>
        <v>Older Adults</v>
      </c>
    </row>
    <row r="640" spans="1:13" x14ac:dyDescent="0.25">
      <c r="A640" t="s">
        <v>1433</v>
      </c>
      <c r="B640" t="s">
        <v>1434</v>
      </c>
      <c r="C640" s="6">
        <v>42306</v>
      </c>
      <c r="D640" t="s">
        <v>11</v>
      </c>
      <c r="E640" t="s">
        <v>28</v>
      </c>
      <c r="F640" t="s">
        <v>29</v>
      </c>
      <c r="G640" t="s">
        <v>44</v>
      </c>
      <c r="H640" s="6">
        <v>45089</v>
      </c>
      <c r="I640" s="6">
        <v>45103</v>
      </c>
      <c r="J640" s="4">
        <v>17329.990000000002</v>
      </c>
      <c r="K640">
        <f t="shared" si="28"/>
        <v>14</v>
      </c>
      <c r="L640">
        <f t="shared" si="27"/>
        <v>7</v>
      </c>
      <c r="M640" t="str">
        <f t="shared" si="29"/>
        <v>Children and Adolescent</v>
      </c>
    </row>
    <row r="641" spans="1:13" x14ac:dyDescent="0.25">
      <c r="A641" t="s">
        <v>1435</v>
      </c>
      <c r="B641" t="s">
        <v>1436</v>
      </c>
      <c r="C641" s="6">
        <v>43810</v>
      </c>
      <c r="D641" t="s">
        <v>27</v>
      </c>
      <c r="E641" t="s">
        <v>127</v>
      </c>
      <c r="F641" t="s">
        <v>156</v>
      </c>
      <c r="G641" t="s">
        <v>510</v>
      </c>
      <c r="H641" s="6">
        <v>45090</v>
      </c>
      <c r="I641" s="6">
        <v>45091</v>
      </c>
      <c r="J641" s="4">
        <v>2206.64</v>
      </c>
      <c r="K641">
        <f t="shared" si="28"/>
        <v>1</v>
      </c>
      <c r="L641">
        <f t="shared" si="27"/>
        <v>3</v>
      </c>
      <c r="M641" t="str">
        <f t="shared" si="29"/>
        <v>Early childhood</v>
      </c>
    </row>
    <row r="642" spans="1:13" x14ac:dyDescent="0.25">
      <c r="A642" t="s">
        <v>1437</v>
      </c>
      <c r="B642" t="s">
        <v>1438</v>
      </c>
      <c r="C642" s="6">
        <v>42391</v>
      </c>
      <c r="D642" t="s">
        <v>27</v>
      </c>
      <c r="E642" t="s">
        <v>138</v>
      </c>
      <c r="F642" t="s">
        <v>110</v>
      </c>
      <c r="G642" t="s">
        <v>139</v>
      </c>
      <c r="H642" s="6">
        <v>45092</v>
      </c>
      <c r="I642" s="6">
        <v>45099</v>
      </c>
      <c r="J642" s="4">
        <v>1982.24</v>
      </c>
      <c r="K642">
        <f t="shared" si="28"/>
        <v>7</v>
      </c>
      <c r="L642">
        <f t="shared" ref="L642:L705" si="30">IF(C642&gt;H642,"Invalid DOB",DATEDIF(C642,H642,"Y"))</f>
        <v>7</v>
      </c>
      <c r="M642" t="str">
        <f t="shared" si="29"/>
        <v>Children and Adolescent</v>
      </c>
    </row>
    <row r="643" spans="1:13" x14ac:dyDescent="0.25">
      <c r="A643" t="s">
        <v>1439</v>
      </c>
      <c r="B643" t="s">
        <v>1440</v>
      </c>
      <c r="C643" s="6">
        <v>9216</v>
      </c>
      <c r="D643" t="s">
        <v>27</v>
      </c>
      <c r="E643" t="s">
        <v>127</v>
      </c>
      <c r="F643" t="s">
        <v>114</v>
      </c>
      <c r="G643" t="s">
        <v>24</v>
      </c>
      <c r="H643" s="6">
        <v>45092</v>
      </c>
      <c r="I643" s="6">
        <v>45115</v>
      </c>
      <c r="J643" s="4">
        <v>1311.35</v>
      </c>
      <c r="K643">
        <f t="shared" ref="K643:K706" si="31">I643-H643</f>
        <v>23</v>
      </c>
      <c r="L643">
        <f t="shared" si="30"/>
        <v>98</v>
      </c>
      <c r="M643" t="str">
        <f t="shared" ref="M643:M706" si="32">IF(L643="Invalid DOB","Invalid DOB",IF(L643&lt;=4,"Early childhood",IF(L643&lt;=17,"Children and Adolescent",IF(L643&lt;=24,"Young Adults",IF(L643&lt;=59,"Adults","Older Adults")))))</f>
        <v>Older Adults</v>
      </c>
    </row>
    <row r="644" spans="1:13" x14ac:dyDescent="0.25">
      <c r="A644" s="1" t="s">
        <v>1441</v>
      </c>
      <c r="B644" t="s">
        <v>1442</v>
      </c>
      <c r="C644" s="6">
        <v>29186</v>
      </c>
      <c r="D644" t="s">
        <v>27</v>
      </c>
      <c r="E644" t="s">
        <v>51</v>
      </c>
      <c r="F644" t="s">
        <v>13</v>
      </c>
      <c r="G644" t="s">
        <v>662</v>
      </c>
      <c r="H644" s="6">
        <v>45092</v>
      </c>
      <c r="I644" s="6">
        <v>45107</v>
      </c>
      <c r="J644" s="4">
        <v>7795.71</v>
      </c>
      <c r="K644">
        <f t="shared" si="31"/>
        <v>15</v>
      </c>
      <c r="L644">
        <f t="shared" si="30"/>
        <v>43</v>
      </c>
      <c r="M644" t="str">
        <f t="shared" si="32"/>
        <v>Adults</v>
      </c>
    </row>
    <row r="645" spans="1:13" x14ac:dyDescent="0.25">
      <c r="A645" t="s">
        <v>1443</v>
      </c>
      <c r="B645" t="s">
        <v>1444</v>
      </c>
      <c r="C645" s="6">
        <v>16367</v>
      </c>
      <c r="D645" t="s">
        <v>11</v>
      </c>
      <c r="E645" t="s">
        <v>38</v>
      </c>
      <c r="F645" t="s">
        <v>39</v>
      </c>
      <c r="G645" t="s">
        <v>40</v>
      </c>
      <c r="H645" s="6">
        <v>45093</v>
      </c>
      <c r="I645" s="6">
        <v>45120</v>
      </c>
      <c r="J645" s="4">
        <v>3100.48</v>
      </c>
      <c r="K645">
        <f t="shared" si="31"/>
        <v>27</v>
      </c>
      <c r="L645">
        <f t="shared" si="30"/>
        <v>78</v>
      </c>
      <c r="M645" t="str">
        <f t="shared" si="32"/>
        <v>Older Adults</v>
      </c>
    </row>
    <row r="646" spans="1:13" x14ac:dyDescent="0.25">
      <c r="A646" t="s">
        <v>1445</v>
      </c>
      <c r="B646" t="s">
        <v>1446</v>
      </c>
      <c r="C646" s="6">
        <v>18845</v>
      </c>
      <c r="D646" t="s">
        <v>11</v>
      </c>
      <c r="E646" t="s">
        <v>281</v>
      </c>
      <c r="F646" t="s">
        <v>13</v>
      </c>
      <c r="G646" t="s">
        <v>437</v>
      </c>
      <c r="H646" s="6">
        <v>45094</v>
      </c>
      <c r="I646" s="6">
        <v>45107</v>
      </c>
      <c r="J646" s="4">
        <v>11134.49</v>
      </c>
      <c r="K646">
        <f t="shared" si="31"/>
        <v>13</v>
      </c>
      <c r="L646">
        <f t="shared" si="30"/>
        <v>71</v>
      </c>
      <c r="M646" t="str">
        <f t="shared" si="32"/>
        <v>Older Adults</v>
      </c>
    </row>
    <row r="647" spans="1:13" x14ac:dyDescent="0.25">
      <c r="A647" t="s">
        <v>1447</v>
      </c>
      <c r="B647" t="s">
        <v>1448</v>
      </c>
      <c r="C647" s="6">
        <v>19247</v>
      </c>
      <c r="D647" t="s">
        <v>11</v>
      </c>
      <c r="E647" t="s">
        <v>22</v>
      </c>
      <c r="F647" t="s">
        <v>110</v>
      </c>
      <c r="G647" t="s">
        <v>107</v>
      </c>
      <c r="H647" s="6">
        <v>45095</v>
      </c>
      <c r="I647" s="6">
        <v>45101</v>
      </c>
      <c r="J647" s="4">
        <v>2153.6</v>
      </c>
      <c r="K647">
        <f t="shared" si="31"/>
        <v>6</v>
      </c>
      <c r="L647">
        <f t="shared" si="30"/>
        <v>70</v>
      </c>
      <c r="M647" t="str">
        <f t="shared" si="32"/>
        <v>Older Adults</v>
      </c>
    </row>
    <row r="648" spans="1:13" x14ac:dyDescent="0.25">
      <c r="A648" t="s">
        <v>1449</v>
      </c>
      <c r="B648" t="s">
        <v>1450</v>
      </c>
      <c r="C648" s="6">
        <v>15970</v>
      </c>
      <c r="D648" t="s">
        <v>27</v>
      </c>
      <c r="E648" t="s">
        <v>362</v>
      </c>
      <c r="F648" t="s">
        <v>799</v>
      </c>
      <c r="G648" t="s">
        <v>363</v>
      </c>
      <c r="H648" s="6">
        <v>45096</v>
      </c>
      <c r="I648" s="6">
        <v>45126</v>
      </c>
      <c r="J648" s="4">
        <v>14987.34</v>
      </c>
      <c r="K648">
        <f t="shared" si="31"/>
        <v>30</v>
      </c>
      <c r="L648">
        <f t="shared" si="30"/>
        <v>79</v>
      </c>
      <c r="M648" t="str">
        <f t="shared" si="32"/>
        <v>Older Adults</v>
      </c>
    </row>
    <row r="649" spans="1:13" x14ac:dyDescent="0.25">
      <c r="A649" t="s">
        <v>1451</v>
      </c>
      <c r="B649" t="s">
        <v>1452</v>
      </c>
      <c r="C649" s="6">
        <v>37123</v>
      </c>
      <c r="D649" t="s">
        <v>11</v>
      </c>
      <c r="E649" t="s">
        <v>120</v>
      </c>
      <c r="F649" t="s">
        <v>114</v>
      </c>
      <c r="G649" t="s">
        <v>515</v>
      </c>
      <c r="H649" s="6">
        <v>45096</v>
      </c>
      <c r="I649" s="6">
        <v>45114</v>
      </c>
      <c r="J649" s="4">
        <v>933.25</v>
      </c>
      <c r="K649">
        <f t="shared" si="31"/>
        <v>18</v>
      </c>
      <c r="L649">
        <f t="shared" si="30"/>
        <v>21</v>
      </c>
      <c r="M649" t="str">
        <f t="shared" si="32"/>
        <v>Young Adults</v>
      </c>
    </row>
    <row r="650" spans="1:13" x14ac:dyDescent="0.25">
      <c r="A650" t="s">
        <v>1453</v>
      </c>
      <c r="B650" t="s">
        <v>1454</v>
      </c>
      <c r="C650" s="6">
        <v>32927</v>
      </c>
      <c r="D650" t="s">
        <v>27</v>
      </c>
      <c r="E650" t="s">
        <v>281</v>
      </c>
      <c r="F650" t="s">
        <v>13</v>
      </c>
      <c r="G650" t="s">
        <v>437</v>
      </c>
      <c r="H650" s="6">
        <v>45097</v>
      </c>
      <c r="I650" s="6">
        <v>45106</v>
      </c>
      <c r="J650" s="4">
        <v>25230.01</v>
      </c>
      <c r="K650">
        <f t="shared" si="31"/>
        <v>9</v>
      </c>
      <c r="L650">
        <f t="shared" si="30"/>
        <v>33</v>
      </c>
      <c r="M650" t="str">
        <f t="shared" si="32"/>
        <v>Adults</v>
      </c>
    </row>
    <row r="651" spans="1:13" x14ac:dyDescent="0.25">
      <c r="A651" t="s">
        <v>1455</v>
      </c>
      <c r="B651" t="s">
        <v>1456</v>
      </c>
      <c r="C651" s="6">
        <v>21654</v>
      </c>
      <c r="D651" t="s">
        <v>27</v>
      </c>
      <c r="E651" t="s">
        <v>127</v>
      </c>
      <c r="F651" t="s">
        <v>509</v>
      </c>
      <c r="G651" t="s">
        <v>24</v>
      </c>
      <c r="H651" s="6">
        <v>45098</v>
      </c>
      <c r="I651" s="6">
        <v>45121</v>
      </c>
      <c r="J651" s="4">
        <v>716.52</v>
      </c>
      <c r="K651">
        <f t="shared" si="31"/>
        <v>23</v>
      </c>
      <c r="L651">
        <f t="shared" si="30"/>
        <v>64</v>
      </c>
      <c r="M651" t="str">
        <f t="shared" si="32"/>
        <v>Older Adults</v>
      </c>
    </row>
    <row r="652" spans="1:13" x14ac:dyDescent="0.25">
      <c r="A652" t="s">
        <v>1457</v>
      </c>
      <c r="B652" t="s">
        <v>1458</v>
      </c>
      <c r="C652" s="6">
        <v>12078</v>
      </c>
      <c r="D652" t="s">
        <v>11</v>
      </c>
      <c r="E652" t="s">
        <v>97</v>
      </c>
      <c r="F652" t="s">
        <v>98</v>
      </c>
      <c r="G652" t="s">
        <v>221</v>
      </c>
      <c r="H652" s="6">
        <v>45099</v>
      </c>
      <c r="I652" s="6">
        <v>45106</v>
      </c>
      <c r="J652" s="4">
        <v>986.68</v>
      </c>
      <c r="K652">
        <f t="shared" si="31"/>
        <v>7</v>
      </c>
      <c r="L652">
        <f t="shared" si="30"/>
        <v>90</v>
      </c>
      <c r="M652" t="str">
        <f t="shared" si="32"/>
        <v>Older Adults</v>
      </c>
    </row>
    <row r="653" spans="1:13" x14ac:dyDescent="0.25">
      <c r="A653" t="s">
        <v>1459</v>
      </c>
      <c r="B653" t="s">
        <v>1460</v>
      </c>
      <c r="C653" s="6">
        <v>23066</v>
      </c>
      <c r="D653" t="s">
        <v>11</v>
      </c>
      <c r="E653" t="s">
        <v>120</v>
      </c>
      <c r="F653" t="s">
        <v>23</v>
      </c>
      <c r="G653" t="s">
        <v>306</v>
      </c>
      <c r="H653" s="6">
        <v>45101</v>
      </c>
      <c r="I653" s="6">
        <v>45105</v>
      </c>
      <c r="J653" s="4">
        <v>722.12</v>
      </c>
      <c r="K653">
        <f t="shared" si="31"/>
        <v>4</v>
      </c>
      <c r="L653">
        <f t="shared" si="30"/>
        <v>60</v>
      </c>
      <c r="M653" t="str">
        <f t="shared" si="32"/>
        <v>Older Adults</v>
      </c>
    </row>
    <row r="654" spans="1:13" x14ac:dyDescent="0.25">
      <c r="A654" t="s">
        <v>1461</v>
      </c>
      <c r="B654" t="s">
        <v>1462</v>
      </c>
      <c r="C654" s="6">
        <v>24050</v>
      </c>
      <c r="D654" t="s">
        <v>11</v>
      </c>
      <c r="E654" t="s">
        <v>120</v>
      </c>
      <c r="F654" t="s">
        <v>103</v>
      </c>
      <c r="G654" t="s">
        <v>121</v>
      </c>
      <c r="H654" s="6">
        <v>45101</v>
      </c>
      <c r="I654" s="6">
        <v>45127</v>
      </c>
      <c r="J654" s="4">
        <v>1171.6500000000001</v>
      </c>
      <c r="K654">
        <f t="shared" si="31"/>
        <v>26</v>
      </c>
      <c r="L654">
        <f t="shared" si="30"/>
        <v>57</v>
      </c>
      <c r="M654" t="str">
        <f t="shared" si="32"/>
        <v>Adults</v>
      </c>
    </row>
    <row r="655" spans="1:13" x14ac:dyDescent="0.25">
      <c r="A655" s="1" t="s">
        <v>1463</v>
      </c>
      <c r="B655" t="s">
        <v>1464</v>
      </c>
      <c r="C655" s="6">
        <v>26728</v>
      </c>
      <c r="D655" t="s">
        <v>11</v>
      </c>
      <c r="E655" t="s">
        <v>163</v>
      </c>
      <c r="F655" t="s">
        <v>164</v>
      </c>
      <c r="G655" t="s">
        <v>759</v>
      </c>
      <c r="H655" s="6">
        <v>45101</v>
      </c>
      <c r="I655" s="6">
        <v>45123</v>
      </c>
      <c r="J655" s="4">
        <v>12773.31</v>
      </c>
      <c r="K655">
        <f t="shared" si="31"/>
        <v>22</v>
      </c>
      <c r="L655">
        <f t="shared" si="30"/>
        <v>50</v>
      </c>
      <c r="M655" t="str">
        <f t="shared" si="32"/>
        <v>Adults</v>
      </c>
    </row>
    <row r="656" spans="1:13" x14ac:dyDescent="0.25">
      <c r="A656" t="s">
        <v>1465</v>
      </c>
      <c r="B656" t="s">
        <v>1466</v>
      </c>
      <c r="C656" s="6">
        <v>32260</v>
      </c>
      <c r="D656" t="s">
        <v>11</v>
      </c>
      <c r="E656" t="s">
        <v>22</v>
      </c>
      <c r="F656" t="s">
        <v>23</v>
      </c>
      <c r="G656" t="s">
        <v>24</v>
      </c>
      <c r="H656" s="6">
        <v>45102</v>
      </c>
      <c r="I656" s="6">
        <v>45116</v>
      </c>
      <c r="J656" s="4">
        <v>1593.23</v>
      </c>
      <c r="K656">
        <f t="shared" si="31"/>
        <v>14</v>
      </c>
      <c r="L656">
        <f t="shared" si="30"/>
        <v>35</v>
      </c>
      <c r="M656" t="str">
        <f t="shared" si="32"/>
        <v>Adults</v>
      </c>
    </row>
    <row r="657" spans="1:13" x14ac:dyDescent="0.25">
      <c r="A657" t="s">
        <v>1467</v>
      </c>
      <c r="B657" t="s">
        <v>1468</v>
      </c>
      <c r="C657" s="6">
        <v>28605</v>
      </c>
      <c r="D657" t="s">
        <v>11</v>
      </c>
      <c r="E657" t="s">
        <v>178</v>
      </c>
      <c r="F657" t="s">
        <v>182</v>
      </c>
      <c r="G657" t="s">
        <v>434</v>
      </c>
      <c r="H657" s="6">
        <v>45102</v>
      </c>
      <c r="I657" s="6">
        <v>45107</v>
      </c>
      <c r="J657" s="4">
        <v>2503.94</v>
      </c>
      <c r="K657">
        <f t="shared" si="31"/>
        <v>5</v>
      </c>
      <c r="L657">
        <f t="shared" si="30"/>
        <v>45</v>
      </c>
      <c r="M657" t="str">
        <f t="shared" si="32"/>
        <v>Adults</v>
      </c>
    </row>
    <row r="658" spans="1:13" x14ac:dyDescent="0.25">
      <c r="A658" t="s">
        <v>1469</v>
      </c>
      <c r="B658" t="s">
        <v>1470</v>
      </c>
      <c r="C658" s="6">
        <v>34661</v>
      </c>
      <c r="D658" t="s">
        <v>27</v>
      </c>
      <c r="E658" t="s">
        <v>97</v>
      </c>
      <c r="F658" t="s">
        <v>540</v>
      </c>
      <c r="G658" t="s">
        <v>221</v>
      </c>
      <c r="H658" s="6">
        <v>45103</v>
      </c>
      <c r="I658" s="6">
        <v>45129</v>
      </c>
      <c r="J658" s="4">
        <v>416.37</v>
      </c>
      <c r="K658">
        <f t="shared" si="31"/>
        <v>26</v>
      </c>
      <c r="L658">
        <f t="shared" si="30"/>
        <v>28</v>
      </c>
      <c r="M658" t="str">
        <f t="shared" si="32"/>
        <v>Adults</v>
      </c>
    </row>
    <row r="659" spans="1:13" x14ac:dyDescent="0.25">
      <c r="A659" t="s">
        <v>1471</v>
      </c>
      <c r="B659" t="s">
        <v>1472</v>
      </c>
      <c r="C659" s="6">
        <v>43222</v>
      </c>
      <c r="D659" t="s">
        <v>11</v>
      </c>
      <c r="E659" t="s">
        <v>127</v>
      </c>
      <c r="F659" t="s">
        <v>114</v>
      </c>
      <c r="G659" t="s">
        <v>24</v>
      </c>
      <c r="H659" s="6">
        <v>45103</v>
      </c>
      <c r="I659" s="6">
        <v>45130</v>
      </c>
      <c r="J659" s="4">
        <v>2251.52</v>
      </c>
      <c r="K659">
        <f t="shared" si="31"/>
        <v>27</v>
      </c>
      <c r="L659">
        <f t="shared" si="30"/>
        <v>5</v>
      </c>
      <c r="M659" t="str">
        <f t="shared" si="32"/>
        <v>Children and Adolescent</v>
      </c>
    </row>
    <row r="660" spans="1:13" x14ac:dyDescent="0.25">
      <c r="A660" t="s">
        <v>1473</v>
      </c>
      <c r="B660" t="s">
        <v>1474</v>
      </c>
      <c r="C660" s="6">
        <v>10842</v>
      </c>
      <c r="D660" t="s">
        <v>27</v>
      </c>
      <c r="E660" t="s">
        <v>72</v>
      </c>
      <c r="F660" t="s">
        <v>34</v>
      </c>
      <c r="G660" t="s">
        <v>74</v>
      </c>
      <c r="H660" s="6">
        <v>45104</v>
      </c>
      <c r="I660" s="6">
        <v>45123</v>
      </c>
      <c r="J660" s="4">
        <v>9347.69</v>
      </c>
      <c r="K660">
        <f t="shared" si="31"/>
        <v>19</v>
      </c>
      <c r="L660">
        <f t="shared" si="30"/>
        <v>93</v>
      </c>
      <c r="M660" t="str">
        <f t="shared" si="32"/>
        <v>Older Adults</v>
      </c>
    </row>
    <row r="661" spans="1:13" x14ac:dyDescent="0.25">
      <c r="A661" t="s">
        <v>1475</v>
      </c>
      <c r="B661" t="s">
        <v>1476</v>
      </c>
      <c r="C661" s="6">
        <v>10183</v>
      </c>
      <c r="D661" t="s">
        <v>27</v>
      </c>
      <c r="E661" t="s">
        <v>142</v>
      </c>
      <c r="F661" t="s">
        <v>200</v>
      </c>
      <c r="G661" t="s">
        <v>143</v>
      </c>
      <c r="H661" s="6">
        <v>45104</v>
      </c>
      <c r="I661" s="6">
        <v>45125</v>
      </c>
      <c r="J661" s="4">
        <v>2382.35</v>
      </c>
      <c r="K661">
        <f t="shared" si="31"/>
        <v>21</v>
      </c>
      <c r="L661">
        <f t="shared" si="30"/>
        <v>95</v>
      </c>
      <c r="M661" t="str">
        <f t="shared" si="32"/>
        <v>Older Adults</v>
      </c>
    </row>
    <row r="662" spans="1:13" x14ac:dyDescent="0.25">
      <c r="A662" t="s">
        <v>1477</v>
      </c>
      <c r="B662" t="s">
        <v>1478</v>
      </c>
      <c r="C662" s="6">
        <v>11232</v>
      </c>
      <c r="D662" t="s">
        <v>11</v>
      </c>
      <c r="E662" t="s">
        <v>120</v>
      </c>
      <c r="F662" t="s">
        <v>114</v>
      </c>
      <c r="G662" t="s">
        <v>515</v>
      </c>
      <c r="H662" s="6">
        <v>45104</v>
      </c>
      <c r="I662" s="6">
        <v>45116</v>
      </c>
      <c r="J662" s="4">
        <v>1859.36</v>
      </c>
      <c r="K662">
        <f t="shared" si="31"/>
        <v>12</v>
      </c>
      <c r="L662">
        <f t="shared" si="30"/>
        <v>92</v>
      </c>
      <c r="M662" t="str">
        <f t="shared" si="32"/>
        <v>Older Adults</v>
      </c>
    </row>
    <row r="663" spans="1:13" x14ac:dyDescent="0.25">
      <c r="A663" t="s">
        <v>1479</v>
      </c>
      <c r="B663" t="s">
        <v>1480</v>
      </c>
      <c r="C663" s="6">
        <v>23739</v>
      </c>
      <c r="D663" t="s">
        <v>27</v>
      </c>
      <c r="E663" t="s">
        <v>271</v>
      </c>
      <c r="F663" t="s">
        <v>272</v>
      </c>
      <c r="G663" t="s">
        <v>385</v>
      </c>
      <c r="H663" s="6">
        <v>45105</v>
      </c>
      <c r="I663" s="6">
        <v>45119</v>
      </c>
      <c r="J663" s="4">
        <v>669.57</v>
      </c>
      <c r="K663">
        <f t="shared" si="31"/>
        <v>14</v>
      </c>
      <c r="L663">
        <f t="shared" si="30"/>
        <v>58</v>
      </c>
      <c r="M663" t="str">
        <f t="shared" si="32"/>
        <v>Adults</v>
      </c>
    </row>
    <row r="664" spans="1:13" x14ac:dyDescent="0.25">
      <c r="A664" t="s">
        <v>1481</v>
      </c>
      <c r="B664" t="s">
        <v>1482</v>
      </c>
      <c r="C664" s="6">
        <v>32825</v>
      </c>
      <c r="D664" t="s">
        <v>11</v>
      </c>
      <c r="E664" t="s">
        <v>33</v>
      </c>
      <c r="F664" t="s">
        <v>34</v>
      </c>
      <c r="G664" t="s">
        <v>378</v>
      </c>
      <c r="H664" s="6">
        <v>45106</v>
      </c>
      <c r="I664" s="6">
        <v>45134</v>
      </c>
      <c r="J664" s="4">
        <v>1376.18</v>
      </c>
      <c r="K664">
        <f t="shared" si="31"/>
        <v>28</v>
      </c>
      <c r="L664">
        <f t="shared" si="30"/>
        <v>33</v>
      </c>
      <c r="M664" t="str">
        <f t="shared" si="32"/>
        <v>Adults</v>
      </c>
    </row>
    <row r="665" spans="1:13" x14ac:dyDescent="0.25">
      <c r="A665" t="s">
        <v>1483</v>
      </c>
      <c r="B665" t="s">
        <v>1484</v>
      </c>
      <c r="C665" s="6">
        <v>32951</v>
      </c>
      <c r="D665" t="s">
        <v>11</v>
      </c>
      <c r="E665" t="s">
        <v>163</v>
      </c>
      <c r="F665" t="s">
        <v>13</v>
      </c>
      <c r="G665" t="s">
        <v>759</v>
      </c>
      <c r="H665" s="6">
        <v>45108</v>
      </c>
      <c r="I665" s="6">
        <v>45133</v>
      </c>
      <c r="J665" s="4">
        <v>20232.73</v>
      </c>
      <c r="K665">
        <f t="shared" si="31"/>
        <v>25</v>
      </c>
      <c r="L665">
        <f t="shared" si="30"/>
        <v>33</v>
      </c>
      <c r="M665" t="str">
        <f t="shared" si="32"/>
        <v>Adults</v>
      </c>
    </row>
    <row r="666" spans="1:13" x14ac:dyDescent="0.25">
      <c r="A666" t="s">
        <v>1485</v>
      </c>
      <c r="B666" t="s">
        <v>1486</v>
      </c>
      <c r="C666" s="6">
        <v>25774</v>
      </c>
      <c r="D666" t="s">
        <v>11</v>
      </c>
      <c r="E666" t="s">
        <v>12</v>
      </c>
      <c r="F666" t="s">
        <v>13</v>
      </c>
      <c r="G666" t="s">
        <v>173</v>
      </c>
      <c r="H666" s="6">
        <v>45109</v>
      </c>
      <c r="I666" s="6">
        <v>45116</v>
      </c>
      <c r="J666" s="4">
        <v>18201.55</v>
      </c>
      <c r="K666">
        <f t="shared" si="31"/>
        <v>7</v>
      </c>
      <c r="L666">
        <f t="shared" si="30"/>
        <v>52</v>
      </c>
      <c r="M666" t="str">
        <f t="shared" si="32"/>
        <v>Adults</v>
      </c>
    </row>
    <row r="667" spans="1:13" x14ac:dyDescent="0.25">
      <c r="A667" t="s">
        <v>1487</v>
      </c>
      <c r="B667" t="s">
        <v>1488</v>
      </c>
      <c r="C667" s="6">
        <v>14258</v>
      </c>
      <c r="D667" t="s">
        <v>11</v>
      </c>
      <c r="E667" t="s">
        <v>138</v>
      </c>
      <c r="F667" t="s">
        <v>209</v>
      </c>
      <c r="G667" t="s">
        <v>146</v>
      </c>
      <c r="H667" s="6">
        <v>45110</v>
      </c>
      <c r="I667" s="6">
        <v>45128</v>
      </c>
      <c r="J667" s="4">
        <v>2890.07</v>
      </c>
      <c r="K667">
        <f t="shared" si="31"/>
        <v>18</v>
      </c>
      <c r="L667">
        <f t="shared" si="30"/>
        <v>84</v>
      </c>
      <c r="M667" t="str">
        <f t="shared" si="32"/>
        <v>Older Adults</v>
      </c>
    </row>
    <row r="668" spans="1:13" x14ac:dyDescent="0.25">
      <c r="A668" t="s">
        <v>1489</v>
      </c>
      <c r="B668" t="s">
        <v>1490</v>
      </c>
      <c r="C668" s="6">
        <v>33729</v>
      </c>
      <c r="D668" t="s">
        <v>11</v>
      </c>
      <c r="E668" t="s">
        <v>55</v>
      </c>
      <c r="F668" t="s">
        <v>217</v>
      </c>
      <c r="G668" t="s">
        <v>228</v>
      </c>
      <c r="H668" s="6">
        <v>45111</v>
      </c>
      <c r="I668" s="6">
        <v>45114</v>
      </c>
      <c r="J668" s="4">
        <v>4906.97</v>
      </c>
      <c r="K668">
        <f t="shared" si="31"/>
        <v>3</v>
      </c>
      <c r="L668">
        <f t="shared" si="30"/>
        <v>31</v>
      </c>
      <c r="M668" t="str">
        <f t="shared" si="32"/>
        <v>Adults</v>
      </c>
    </row>
    <row r="669" spans="1:13" x14ac:dyDescent="0.25">
      <c r="A669" t="s">
        <v>1491</v>
      </c>
      <c r="B669" t="s">
        <v>1492</v>
      </c>
      <c r="C669" s="6">
        <v>24202</v>
      </c>
      <c r="D669" t="s">
        <v>27</v>
      </c>
      <c r="E669" t="s">
        <v>127</v>
      </c>
      <c r="F669" t="s">
        <v>156</v>
      </c>
      <c r="G669" t="s">
        <v>510</v>
      </c>
      <c r="H669" s="6">
        <v>45117</v>
      </c>
      <c r="I669" s="6">
        <v>45138</v>
      </c>
      <c r="J669" s="4">
        <v>2805.8</v>
      </c>
      <c r="K669">
        <f t="shared" si="31"/>
        <v>21</v>
      </c>
      <c r="L669">
        <f t="shared" si="30"/>
        <v>57</v>
      </c>
      <c r="M669" t="str">
        <f t="shared" si="32"/>
        <v>Adults</v>
      </c>
    </row>
    <row r="670" spans="1:13" x14ac:dyDescent="0.25">
      <c r="A670" t="s">
        <v>1493</v>
      </c>
      <c r="B670" t="s">
        <v>1494</v>
      </c>
      <c r="C670" s="6">
        <v>32738</v>
      </c>
      <c r="D670" t="s">
        <v>27</v>
      </c>
      <c r="E670" t="s">
        <v>80</v>
      </c>
      <c r="F670" t="s">
        <v>13</v>
      </c>
      <c r="G670" t="s">
        <v>444</v>
      </c>
      <c r="H670" s="6">
        <v>45119</v>
      </c>
      <c r="I670" s="6">
        <v>45127</v>
      </c>
      <c r="J670" s="4">
        <v>6525.32</v>
      </c>
      <c r="K670">
        <f t="shared" si="31"/>
        <v>8</v>
      </c>
      <c r="L670">
        <f t="shared" si="30"/>
        <v>33</v>
      </c>
      <c r="M670" t="str">
        <f t="shared" si="32"/>
        <v>Adults</v>
      </c>
    </row>
    <row r="671" spans="1:13" x14ac:dyDescent="0.25">
      <c r="A671" t="s">
        <v>1495</v>
      </c>
      <c r="B671" t="s">
        <v>1496</v>
      </c>
      <c r="C671" s="6">
        <v>23582</v>
      </c>
      <c r="D671" t="s">
        <v>27</v>
      </c>
      <c r="E671" t="s">
        <v>142</v>
      </c>
      <c r="F671" t="s">
        <v>110</v>
      </c>
      <c r="G671" t="s">
        <v>285</v>
      </c>
      <c r="H671" s="6">
        <v>45120</v>
      </c>
      <c r="I671" s="6">
        <v>45132</v>
      </c>
      <c r="J671" s="4">
        <v>2221.52</v>
      </c>
      <c r="K671">
        <f t="shared" si="31"/>
        <v>12</v>
      </c>
      <c r="L671">
        <f t="shared" si="30"/>
        <v>58</v>
      </c>
      <c r="M671" t="str">
        <f t="shared" si="32"/>
        <v>Adults</v>
      </c>
    </row>
    <row r="672" spans="1:13" x14ac:dyDescent="0.25">
      <c r="A672" t="s">
        <v>1497</v>
      </c>
      <c r="B672" t="s">
        <v>1498</v>
      </c>
      <c r="C672" s="6">
        <v>30176</v>
      </c>
      <c r="D672" t="s">
        <v>27</v>
      </c>
      <c r="E672" t="s">
        <v>12</v>
      </c>
      <c r="F672" t="s">
        <v>172</v>
      </c>
      <c r="G672" t="s">
        <v>14</v>
      </c>
      <c r="H672" s="6">
        <v>45120</v>
      </c>
      <c r="I672" s="6">
        <v>45131</v>
      </c>
      <c r="J672" s="4">
        <v>6976.82</v>
      </c>
      <c r="K672">
        <f t="shared" si="31"/>
        <v>11</v>
      </c>
      <c r="L672">
        <f t="shared" si="30"/>
        <v>40</v>
      </c>
      <c r="M672" t="str">
        <f t="shared" si="32"/>
        <v>Adults</v>
      </c>
    </row>
    <row r="673" spans="1:13" x14ac:dyDescent="0.25">
      <c r="A673" t="s">
        <v>1499</v>
      </c>
      <c r="B673" t="s">
        <v>1500</v>
      </c>
      <c r="C673" s="6">
        <v>31949</v>
      </c>
      <c r="D673" t="s">
        <v>11</v>
      </c>
      <c r="E673" t="s">
        <v>12</v>
      </c>
      <c r="F673" t="s">
        <v>13</v>
      </c>
      <c r="G673" t="s">
        <v>14</v>
      </c>
      <c r="H673" s="6">
        <v>45121</v>
      </c>
      <c r="I673" s="6">
        <v>45151</v>
      </c>
      <c r="J673" s="4">
        <v>18556.509999999998</v>
      </c>
      <c r="K673">
        <f t="shared" si="31"/>
        <v>30</v>
      </c>
      <c r="L673">
        <f t="shared" si="30"/>
        <v>36</v>
      </c>
      <c r="M673" t="str">
        <f t="shared" si="32"/>
        <v>Adults</v>
      </c>
    </row>
    <row r="674" spans="1:13" x14ac:dyDescent="0.25">
      <c r="A674" s="1" t="s">
        <v>1501</v>
      </c>
      <c r="B674" t="s">
        <v>1502</v>
      </c>
      <c r="C674" s="6">
        <v>9054</v>
      </c>
      <c r="D674" t="s">
        <v>11</v>
      </c>
      <c r="E674" t="s">
        <v>51</v>
      </c>
      <c r="F674" t="s">
        <v>29</v>
      </c>
      <c r="G674" t="s">
        <v>662</v>
      </c>
      <c r="H674" s="6">
        <v>45122</v>
      </c>
      <c r="I674" s="6">
        <v>45127</v>
      </c>
      <c r="J674" s="4">
        <v>4370.53</v>
      </c>
      <c r="K674">
        <f t="shared" si="31"/>
        <v>5</v>
      </c>
      <c r="L674">
        <f t="shared" si="30"/>
        <v>98</v>
      </c>
      <c r="M674" t="str">
        <f t="shared" si="32"/>
        <v>Older Adults</v>
      </c>
    </row>
    <row r="675" spans="1:13" x14ac:dyDescent="0.25">
      <c r="A675" t="s">
        <v>1503</v>
      </c>
      <c r="B675" t="s">
        <v>1504</v>
      </c>
      <c r="C675" s="6">
        <v>10621</v>
      </c>
      <c r="D675" t="s">
        <v>27</v>
      </c>
      <c r="E675" t="s">
        <v>92</v>
      </c>
      <c r="F675" t="s">
        <v>13</v>
      </c>
      <c r="G675" t="s">
        <v>296</v>
      </c>
      <c r="H675" s="6">
        <v>45122</v>
      </c>
      <c r="I675" s="6">
        <v>45129</v>
      </c>
      <c r="J675" s="4">
        <v>670.27</v>
      </c>
      <c r="K675">
        <f t="shared" si="31"/>
        <v>7</v>
      </c>
      <c r="L675">
        <f t="shared" si="30"/>
        <v>94</v>
      </c>
      <c r="M675" t="str">
        <f t="shared" si="32"/>
        <v>Older Adults</v>
      </c>
    </row>
    <row r="676" spans="1:13" x14ac:dyDescent="0.25">
      <c r="A676" t="s">
        <v>1505</v>
      </c>
      <c r="B676" t="s">
        <v>1506</v>
      </c>
      <c r="C676" s="6">
        <v>38321</v>
      </c>
      <c r="D676" t="s">
        <v>11</v>
      </c>
      <c r="E676" t="s">
        <v>80</v>
      </c>
      <c r="F676" t="s">
        <v>29</v>
      </c>
      <c r="G676" t="s">
        <v>578</v>
      </c>
      <c r="H676" s="6">
        <v>45123</v>
      </c>
      <c r="I676" s="6">
        <v>45142</v>
      </c>
      <c r="J676" s="4">
        <v>13532.38</v>
      </c>
      <c r="K676">
        <f t="shared" si="31"/>
        <v>19</v>
      </c>
      <c r="L676">
        <f t="shared" si="30"/>
        <v>18</v>
      </c>
      <c r="M676" t="str">
        <f t="shared" si="32"/>
        <v>Young Adults</v>
      </c>
    </row>
    <row r="677" spans="1:13" x14ac:dyDescent="0.25">
      <c r="A677" t="s">
        <v>1507</v>
      </c>
      <c r="B677" t="s">
        <v>1508</v>
      </c>
      <c r="C677" s="6">
        <v>11281</v>
      </c>
      <c r="D677" t="s">
        <v>27</v>
      </c>
      <c r="E677" t="s">
        <v>178</v>
      </c>
      <c r="F677" t="s">
        <v>433</v>
      </c>
      <c r="G677" t="s">
        <v>434</v>
      </c>
      <c r="H677" s="6">
        <v>45123</v>
      </c>
      <c r="I677" s="6">
        <v>45144</v>
      </c>
      <c r="J677" s="4">
        <v>2244.85</v>
      </c>
      <c r="K677">
        <f t="shared" si="31"/>
        <v>21</v>
      </c>
      <c r="L677">
        <f t="shared" si="30"/>
        <v>92</v>
      </c>
      <c r="M677" t="str">
        <f t="shared" si="32"/>
        <v>Older Adults</v>
      </c>
    </row>
    <row r="678" spans="1:13" x14ac:dyDescent="0.25">
      <c r="A678" t="s">
        <v>1509</v>
      </c>
      <c r="B678" t="s">
        <v>1510</v>
      </c>
      <c r="C678" s="6">
        <v>26573</v>
      </c>
      <c r="D678" t="s">
        <v>27</v>
      </c>
      <c r="E678" t="s">
        <v>102</v>
      </c>
      <c r="F678" t="s">
        <v>528</v>
      </c>
      <c r="G678" t="s">
        <v>160</v>
      </c>
      <c r="H678" s="6">
        <v>45124</v>
      </c>
      <c r="I678" s="6">
        <v>45130</v>
      </c>
      <c r="J678" s="4">
        <v>32996.03</v>
      </c>
      <c r="K678">
        <f t="shared" si="31"/>
        <v>6</v>
      </c>
      <c r="L678">
        <f t="shared" si="30"/>
        <v>50</v>
      </c>
      <c r="M678" t="str">
        <f t="shared" si="32"/>
        <v>Adults</v>
      </c>
    </row>
    <row r="679" spans="1:13" x14ac:dyDescent="0.25">
      <c r="A679" t="s">
        <v>1511</v>
      </c>
      <c r="B679" t="s">
        <v>1512</v>
      </c>
      <c r="C679" s="6">
        <v>18346</v>
      </c>
      <c r="D679" t="s">
        <v>27</v>
      </c>
      <c r="E679" t="s">
        <v>80</v>
      </c>
      <c r="F679" t="s">
        <v>29</v>
      </c>
      <c r="G679" t="s">
        <v>444</v>
      </c>
      <c r="H679" s="6">
        <v>45125</v>
      </c>
      <c r="I679" s="6">
        <v>45135</v>
      </c>
      <c r="J679" s="4">
        <v>17890.11</v>
      </c>
      <c r="K679">
        <f t="shared" si="31"/>
        <v>10</v>
      </c>
      <c r="L679">
        <f t="shared" si="30"/>
        <v>73</v>
      </c>
      <c r="M679" t="str">
        <f t="shared" si="32"/>
        <v>Older Adults</v>
      </c>
    </row>
    <row r="680" spans="1:13" x14ac:dyDescent="0.25">
      <c r="A680" t="s">
        <v>1513</v>
      </c>
      <c r="B680" t="s">
        <v>1514</v>
      </c>
      <c r="C680" s="6">
        <v>38338</v>
      </c>
      <c r="D680" t="s">
        <v>27</v>
      </c>
      <c r="E680" t="s">
        <v>60</v>
      </c>
      <c r="F680" t="s">
        <v>188</v>
      </c>
      <c r="G680" t="s">
        <v>149</v>
      </c>
      <c r="H680" s="6">
        <v>45126</v>
      </c>
      <c r="I680" s="6">
        <v>45134</v>
      </c>
      <c r="J680" s="4">
        <v>89987.42</v>
      </c>
      <c r="K680">
        <f t="shared" si="31"/>
        <v>8</v>
      </c>
      <c r="L680">
        <f t="shared" si="30"/>
        <v>18</v>
      </c>
      <c r="M680" t="str">
        <f t="shared" si="32"/>
        <v>Young Adults</v>
      </c>
    </row>
    <row r="681" spans="1:13" x14ac:dyDescent="0.25">
      <c r="A681" t="s">
        <v>1515</v>
      </c>
      <c r="B681" t="s">
        <v>1516</v>
      </c>
      <c r="C681" s="6">
        <v>12916</v>
      </c>
      <c r="D681" t="s">
        <v>27</v>
      </c>
      <c r="E681" t="s">
        <v>92</v>
      </c>
      <c r="F681" t="s">
        <v>93</v>
      </c>
      <c r="G681" t="s">
        <v>296</v>
      </c>
      <c r="H681" s="6">
        <v>45128</v>
      </c>
      <c r="I681" s="6">
        <v>45129</v>
      </c>
      <c r="J681" s="4">
        <v>1487.96</v>
      </c>
      <c r="K681">
        <f t="shared" si="31"/>
        <v>1</v>
      </c>
      <c r="L681">
        <f t="shared" si="30"/>
        <v>88</v>
      </c>
      <c r="M681" t="str">
        <f t="shared" si="32"/>
        <v>Older Adults</v>
      </c>
    </row>
    <row r="682" spans="1:13" x14ac:dyDescent="0.25">
      <c r="A682" t="s">
        <v>1517</v>
      </c>
      <c r="B682" t="s">
        <v>1518</v>
      </c>
      <c r="C682" s="6">
        <v>35115</v>
      </c>
      <c r="D682" t="s">
        <v>11</v>
      </c>
      <c r="E682" t="s">
        <v>120</v>
      </c>
      <c r="F682" t="s">
        <v>103</v>
      </c>
      <c r="G682" t="s">
        <v>121</v>
      </c>
      <c r="H682" s="6">
        <v>45128</v>
      </c>
      <c r="I682" s="6">
        <v>45135</v>
      </c>
      <c r="J682" s="4">
        <v>2110.16</v>
      </c>
      <c r="K682">
        <f t="shared" si="31"/>
        <v>7</v>
      </c>
      <c r="L682">
        <f t="shared" si="30"/>
        <v>27</v>
      </c>
      <c r="M682" t="str">
        <f t="shared" si="32"/>
        <v>Adults</v>
      </c>
    </row>
    <row r="683" spans="1:13" x14ac:dyDescent="0.25">
      <c r="A683" t="s">
        <v>1519</v>
      </c>
      <c r="B683" t="s">
        <v>1520</v>
      </c>
      <c r="C683" s="6">
        <v>39931</v>
      </c>
      <c r="D683" t="s">
        <v>27</v>
      </c>
      <c r="E683" t="s">
        <v>84</v>
      </c>
      <c r="F683" t="s">
        <v>426</v>
      </c>
      <c r="G683" t="s">
        <v>254</v>
      </c>
      <c r="H683" s="6">
        <v>45132</v>
      </c>
      <c r="I683" s="6">
        <v>45159</v>
      </c>
      <c r="J683" s="4">
        <v>4707.26</v>
      </c>
      <c r="K683">
        <f t="shared" si="31"/>
        <v>27</v>
      </c>
      <c r="L683">
        <f t="shared" si="30"/>
        <v>14</v>
      </c>
      <c r="M683" t="str">
        <f t="shared" si="32"/>
        <v>Children and Adolescent</v>
      </c>
    </row>
    <row r="684" spans="1:13" x14ac:dyDescent="0.25">
      <c r="A684" s="1" t="s">
        <v>1521</v>
      </c>
      <c r="B684" t="s">
        <v>1522</v>
      </c>
      <c r="C684" s="6">
        <v>10986</v>
      </c>
      <c r="D684" t="s">
        <v>11</v>
      </c>
      <c r="E684" t="s">
        <v>92</v>
      </c>
      <c r="F684" t="s">
        <v>13</v>
      </c>
      <c r="G684" t="s">
        <v>296</v>
      </c>
      <c r="H684" s="6">
        <v>45134</v>
      </c>
      <c r="I684" s="6">
        <v>45156</v>
      </c>
      <c r="J684" s="4">
        <v>2821.34</v>
      </c>
      <c r="K684">
        <f t="shared" si="31"/>
        <v>22</v>
      </c>
      <c r="L684">
        <f t="shared" si="30"/>
        <v>93</v>
      </c>
      <c r="M684" t="str">
        <f t="shared" si="32"/>
        <v>Older Adults</v>
      </c>
    </row>
    <row r="685" spans="1:13" x14ac:dyDescent="0.25">
      <c r="A685" t="s">
        <v>1523</v>
      </c>
      <c r="B685" t="s">
        <v>1524</v>
      </c>
      <c r="C685" s="6">
        <v>23544</v>
      </c>
      <c r="D685" t="s">
        <v>27</v>
      </c>
      <c r="E685" t="s">
        <v>65</v>
      </c>
      <c r="F685" t="s">
        <v>518</v>
      </c>
      <c r="G685" t="s">
        <v>66</v>
      </c>
      <c r="H685" s="6">
        <v>45134</v>
      </c>
      <c r="I685" s="6">
        <v>45164</v>
      </c>
      <c r="J685" s="4">
        <v>171.46</v>
      </c>
      <c r="K685">
        <f t="shared" si="31"/>
        <v>30</v>
      </c>
      <c r="L685">
        <f t="shared" si="30"/>
        <v>59</v>
      </c>
      <c r="M685" t="str">
        <f t="shared" si="32"/>
        <v>Adults</v>
      </c>
    </row>
    <row r="686" spans="1:13" x14ac:dyDescent="0.25">
      <c r="A686" t="s">
        <v>1525</v>
      </c>
      <c r="B686" t="s">
        <v>1526</v>
      </c>
      <c r="C686" s="6">
        <v>41425</v>
      </c>
      <c r="D686" t="s">
        <v>11</v>
      </c>
      <c r="E686" t="s">
        <v>271</v>
      </c>
      <c r="F686" t="s">
        <v>299</v>
      </c>
      <c r="G686" t="s">
        <v>313</v>
      </c>
      <c r="H686" s="6">
        <v>45135</v>
      </c>
      <c r="I686" s="6">
        <v>45136</v>
      </c>
      <c r="J686" s="4">
        <v>357.73</v>
      </c>
      <c r="K686">
        <f t="shared" si="31"/>
        <v>1</v>
      </c>
      <c r="L686">
        <f t="shared" si="30"/>
        <v>10</v>
      </c>
      <c r="M686" t="str">
        <f t="shared" si="32"/>
        <v>Children and Adolescent</v>
      </c>
    </row>
    <row r="687" spans="1:13" x14ac:dyDescent="0.25">
      <c r="A687" t="s">
        <v>1527</v>
      </c>
      <c r="B687" t="s">
        <v>1528</v>
      </c>
      <c r="C687" s="6">
        <v>8753</v>
      </c>
      <c r="D687" t="s">
        <v>11</v>
      </c>
      <c r="E687" t="s">
        <v>22</v>
      </c>
      <c r="F687" t="s">
        <v>110</v>
      </c>
      <c r="G687" t="s">
        <v>111</v>
      </c>
      <c r="H687" s="6">
        <v>45136</v>
      </c>
      <c r="I687" s="6">
        <v>45143</v>
      </c>
      <c r="J687" s="4">
        <v>1819.36</v>
      </c>
      <c r="K687">
        <f t="shared" si="31"/>
        <v>7</v>
      </c>
      <c r="L687">
        <f t="shared" si="30"/>
        <v>99</v>
      </c>
      <c r="M687" t="str">
        <f t="shared" si="32"/>
        <v>Older Adults</v>
      </c>
    </row>
    <row r="688" spans="1:13" x14ac:dyDescent="0.25">
      <c r="A688" t="s">
        <v>1529</v>
      </c>
      <c r="B688" t="s">
        <v>1530</v>
      </c>
      <c r="C688" s="6">
        <v>11689</v>
      </c>
      <c r="D688" t="s">
        <v>11</v>
      </c>
      <c r="E688" t="s">
        <v>97</v>
      </c>
      <c r="F688" t="s">
        <v>540</v>
      </c>
      <c r="G688" t="s">
        <v>132</v>
      </c>
      <c r="H688" s="6">
        <v>45138</v>
      </c>
      <c r="I688" s="6">
        <v>45160</v>
      </c>
      <c r="J688" s="4">
        <v>954.37</v>
      </c>
      <c r="K688">
        <f t="shared" si="31"/>
        <v>22</v>
      </c>
      <c r="L688">
        <f t="shared" si="30"/>
        <v>91</v>
      </c>
      <c r="M688" t="str">
        <f t="shared" si="32"/>
        <v>Older Adults</v>
      </c>
    </row>
    <row r="689" spans="1:13" x14ac:dyDescent="0.25">
      <c r="A689" t="s">
        <v>1531</v>
      </c>
      <c r="B689" t="s">
        <v>1532</v>
      </c>
      <c r="C689" s="6">
        <v>19857</v>
      </c>
      <c r="D689" t="s">
        <v>11</v>
      </c>
      <c r="E689" t="s">
        <v>38</v>
      </c>
      <c r="F689" t="s">
        <v>13</v>
      </c>
      <c r="G689" t="s">
        <v>40</v>
      </c>
      <c r="H689" s="6">
        <v>45138</v>
      </c>
      <c r="I689" s="6">
        <v>45147</v>
      </c>
      <c r="J689" s="4">
        <v>2282.1999999999998</v>
      </c>
      <c r="K689">
        <f t="shared" si="31"/>
        <v>9</v>
      </c>
      <c r="L689">
        <f t="shared" si="30"/>
        <v>69</v>
      </c>
      <c r="M689" t="str">
        <f t="shared" si="32"/>
        <v>Older Adults</v>
      </c>
    </row>
    <row r="690" spans="1:13" x14ac:dyDescent="0.25">
      <c r="A690" t="s">
        <v>1533</v>
      </c>
      <c r="B690" t="s">
        <v>1534</v>
      </c>
      <c r="C690" s="6">
        <v>23509</v>
      </c>
      <c r="D690" t="s">
        <v>11</v>
      </c>
      <c r="E690" t="s">
        <v>302</v>
      </c>
      <c r="F690" t="s">
        <v>29</v>
      </c>
      <c r="G690" t="s">
        <v>408</v>
      </c>
      <c r="H690" s="6">
        <v>45139</v>
      </c>
      <c r="I690" s="6">
        <v>45149</v>
      </c>
      <c r="J690" s="4">
        <v>16284.72</v>
      </c>
      <c r="K690">
        <f t="shared" si="31"/>
        <v>10</v>
      </c>
      <c r="L690">
        <f t="shared" si="30"/>
        <v>59</v>
      </c>
      <c r="M690" t="str">
        <f t="shared" si="32"/>
        <v>Adults</v>
      </c>
    </row>
    <row r="691" spans="1:13" x14ac:dyDescent="0.25">
      <c r="A691" t="s">
        <v>1535</v>
      </c>
      <c r="B691" t="s">
        <v>1536</v>
      </c>
      <c r="C691" s="6">
        <v>36195</v>
      </c>
      <c r="D691" t="s">
        <v>11</v>
      </c>
      <c r="E691" t="s">
        <v>120</v>
      </c>
      <c r="F691" t="s">
        <v>103</v>
      </c>
      <c r="G691" t="s">
        <v>306</v>
      </c>
      <c r="H691" s="6">
        <v>45141</v>
      </c>
      <c r="I691" s="6">
        <v>45153</v>
      </c>
      <c r="J691" s="4">
        <v>1559.68</v>
      </c>
      <c r="K691">
        <f t="shared" si="31"/>
        <v>12</v>
      </c>
      <c r="L691">
        <f t="shared" si="30"/>
        <v>24</v>
      </c>
      <c r="M691" t="str">
        <f t="shared" si="32"/>
        <v>Young Adults</v>
      </c>
    </row>
    <row r="692" spans="1:13" x14ac:dyDescent="0.25">
      <c r="A692" t="s">
        <v>1537</v>
      </c>
      <c r="B692" t="s">
        <v>1538</v>
      </c>
      <c r="C692" s="6">
        <v>23798</v>
      </c>
      <c r="D692" t="s">
        <v>27</v>
      </c>
      <c r="E692" t="s">
        <v>65</v>
      </c>
      <c r="F692" t="s">
        <v>518</v>
      </c>
      <c r="G692" t="s">
        <v>66</v>
      </c>
      <c r="H692" s="6">
        <v>45141</v>
      </c>
      <c r="I692" s="6">
        <v>45161</v>
      </c>
      <c r="J692" s="4">
        <v>142.33000000000001</v>
      </c>
      <c r="K692">
        <f t="shared" si="31"/>
        <v>20</v>
      </c>
      <c r="L692">
        <f t="shared" si="30"/>
        <v>58</v>
      </c>
      <c r="M692" t="str">
        <f t="shared" si="32"/>
        <v>Adults</v>
      </c>
    </row>
    <row r="693" spans="1:13" x14ac:dyDescent="0.25">
      <c r="A693" t="s">
        <v>1539</v>
      </c>
      <c r="B693" t="s">
        <v>1540</v>
      </c>
      <c r="C693" s="6">
        <v>13614</v>
      </c>
      <c r="D693" t="s">
        <v>27</v>
      </c>
      <c r="E693" t="s">
        <v>80</v>
      </c>
      <c r="F693" t="s">
        <v>13</v>
      </c>
      <c r="G693" t="s">
        <v>578</v>
      </c>
      <c r="H693" s="6">
        <v>45142</v>
      </c>
      <c r="I693" s="6">
        <v>45144</v>
      </c>
      <c r="J693" s="4">
        <v>5356.65</v>
      </c>
      <c r="K693">
        <f t="shared" si="31"/>
        <v>2</v>
      </c>
      <c r="L693">
        <f t="shared" si="30"/>
        <v>86</v>
      </c>
      <c r="M693" t="str">
        <f t="shared" si="32"/>
        <v>Older Adults</v>
      </c>
    </row>
    <row r="694" spans="1:13" x14ac:dyDescent="0.25">
      <c r="A694" t="s">
        <v>1541</v>
      </c>
      <c r="B694" t="s">
        <v>1542</v>
      </c>
      <c r="C694" s="6">
        <v>42964</v>
      </c>
      <c r="D694" t="s">
        <v>11</v>
      </c>
      <c r="E694" t="s">
        <v>17</v>
      </c>
      <c r="F694" t="s">
        <v>18</v>
      </c>
      <c r="G694" t="s">
        <v>135</v>
      </c>
      <c r="H694" s="6">
        <v>45142</v>
      </c>
      <c r="I694" s="6">
        <v>45154</v>
      </c>
      <c r="J694" s="4">
        <v>2248.09</v>
      </c>
      <c r="K694">
        <f t="shared" si="31"/>
        <v>12</v>
      </c>
      <c r="L694">
        <f t="shared" si="30"/>
        <v>5</v>
      </c>
      <c r="M694" t="str">
        <f t="shared" si="32"/>
        <v>Children and Adolescent</v>
      </c>
    </row>
    <row r="695" spans="1:13" x14ac:dyDescent="0.25">
      <c r="A695" t="s">
        <v>1543</v>
      </c>
      <c r="B695" t="s">
        <v>1544</v>
      </c>
      <c r="C695" s="6">
        <v>42980</v>
      </c>
      <c r="D695" t="s">
        <v>27</v>
      </c>
      <c r="E695" t="s">
        <v>102</v>
      </c>
      <c r="F695" t="s">
        <v>528</v>
      </c>
      <c r="G695" t="s">
        <v>160</v>
      </c>
      <c r="H695" s="6">
        <v>45144</v>
      </c>
      <c r="I695" s="6">
        <v>45149</v>
      </c>
      <c r="J695" s="4">
        <v>5514.05</v>
      </c>
      <c r="K695">
        <f t="shared" si="31"/>
        <v>5</v>
      </c>
      <c r="L695">
        <f t="shared" si="30"/>
        <v>5</v>
      </c>
      <c r="M695" t="str">
        <f t="shared" si="32"/>
        <v>Children and Adolescent</v>
      </c>
    </row>
    <row r="696" spans="1:13" x14ac:dyDescent="0.25">
      <c r="A696" t="s">
        <v>1545</v>
      </c>
      <c r="B696" t="s">
        <v>1546</v>
      </c>
      <c r="C696" s="6">
        <v>27577</v>
      </c>
      <c r="D696" t="s">
        <v>27</v>
      </c>
      <c r="E696" t="s">
        <v>97</v>
      </c>
      <c r="F696" t="s">
        <v>540</v>
      </c>
      <c r="G696" t="s">
        <v>221</v>
      </c>
      <c r="H696" s="6">
        <v>45145</v>
      </c>
      <c r="I696" s="6">
        <v>45175</v>
      </c>
      <c r="J696" s="4">
        <v>614.26</v>
      </c>
      <c r="K696">
        <f t="shared" si="31"/>
        <v>30</v>
      </c>
      <c r="L696">
        <f t="shared" si="30"/>
        <v>48</v>
      </c>
      <c r="M696" t="str">
        <f t="shared" si="32"/>
        <v>Adults</v>
      </c>
    </row>
    <row r="697" spans="1:13" x14ac:dyDescent="0.25">
      <c r="A697" t="s">
        <v>1547</v>
      </c>
      <c r="B697" t="s">
        <v>1548</v>
      </c>
      <c r="C697" s="6">
        <v>17744</v>
      </c>
      <c r="D697" t="s">
        <v>27</v>
      </c>
      <c r="E697" t="s">
        <v>138</v>
      </c>
      <c r="F697" t="s">
        <v>209</v>
      </c>
      <c r="G697" t="s">
        <v>139</v>
      </c>
      <c r="H697" s="6">
        <v>45147</v>
      </c>
      <c r="I697" s="6">
        <v>45158</v>
      </c>
      <c r="J697" s="4">
        <v>2895.43</v>
      </c>
      <c r="K697">
        <f t="shared" si="31"/>
        <v>11</v>
      </c>
      <c r="L697">
        <f t="shared" si="30"/>
        <v>75</v>
      </c>
      <c r="M697" t="str">
        <f t="shared" si="32"/>
        <v>Older Adults</v>
      </c>
    </row>
    <row r="698" spans="1:13" x14ac:dyDescent="0.25">
      <c r="A698" t="s">
        <v>1549</v>
      </c>
      <c r="B698" t="s">
        <v>1550</v>
      </c>
      <c r="C698" s="6">
        <v>13607</v>
      </c>
      <c r="D698" t="s">
        <v>11</v>
      </c>
      <c r="E698" t="s">
        <v>271</v>
      </c>
      <c r="F698" t="s">
        <v>299</v>
      </c>
      <c r="G698" t="s">
        <v>273</v>
      </c>
      <c r="H698" s="6">
        <v>45148</v>
      </c>
      <c r="I698" s="6">
        <v>45175</v>
      </c>
      <c r="J698" s="4">
        <v>948.39</v>
      </c>
      <c r="K698">
        <f t="shared" si="31"/>
        <v>27</v>
      </c>
      <c r="L698">
        <f t="shared" si="30"/>
        <v>86</v>
      </c>
      <c r="M698" t="str">
        <f t="shared" si="32"/>
        <v>Older Adults</v>
      </c>
    </row>
    <row r="699" spans="1:13" x14ac:dyDescent="0.25">
      <c r="A699" t="s">
        <v>1551</v>
      </c>
      <c r="B699" t="s">
        <v>1552</v>
      </c>
      <c r="C699" s="6">
        <v>29717</v>
      </c>
      <c r="D699" t="s">
        <v>27</v>
      </c>
      <c r="E699" t="s">
        <v>33</v>
      </c>
      <c r="F699" t="s">
        <v>34</v>
      </c>
      <c r="G699" t="s">
        <v>378</v>
      </c>
      <c r="H699" s="6">
        <v>45150</v>
      </c>
      <c r="I699" s="6">
        <v>45177</v>
      </c>
      <c r="J699" s="4">
        <v>4262.2</v>
      </c>
      <c r="K699">
        <f t="shared" si="31"/>
        <v>27</v>
      </c>
      <c r="L699">
        <f t="shared" si="30"/>
        <v>42</v>
      </c>
      <c r="M699" t="str">
        <f t="shared" si="32"/>
        <v>Adults</v>
      </c>
    </row>
    <row r="700" spans="1:13" x14ac:dyDescent="0.25">
      <c r="A700" t="s">
        <v>1553</v>
      </c>
      <c r="B700" t="s">
        <v>1554</v>
      </c>
      <c r="C700" s="6">
        <v>38209</v>
      </c>
      <c r="D700" t="s">
        <v>11</v>
      </c>
      <c r="E700" t="s">
        <v>92</v>
      </c>
      <c r="F700" t="s">
        <v>93</v>
      </c>
      <c r="G700" t="s">
        <v>94</v>
      </c>
      <c r="H700" s="6">
        <v>45151</v>
      </c>
      <c r="I700" s="6">
        <v>45165</v>
      </c>
      <c r="J700" s="4">
        <v>889.44</v>
      </c>
      <c r="K700">
        <f t="shared" si="31"/>
        <v>14</v>
      </c>
      <c r="L700">
        <f t="shared" si="30"/>
        <v>19</v>
      </c>
      <c r="M700" t="str">
        <f t="shared" si="32"/>
        <v>Young Adults</v>
      </c>
    </row>
    <row r="701" spans="1:13" x14ac:dyDescent="0.25">
      <c r="A701" t="s">
        <v>1555</v>
      </c>
      <c r="B701" t="s">
        <v>1556</v>
      </c>
      <c r="C701" s="6">
        <v>11529</v>
      </c>
      <c r="D701" t="s">
        <v>27</v>
      </c>
      <c r="E701" t="s">
        <v>65</v>
      </c>
      <c r="F701" t="s">
        <v>518</v>
      </c>
      <c r="G701" t="s">
        <v>66</v>
      </c>
      <c r="H701" s="6">
        <v>45153</v>
      </c>
      <c r="I701" s="6">
        <v>45171</v>
      </c>
      <c r="J701" s="4">
        <v>494.22</v>
      </c>
      <c r="K701">
        <f t="shared" si="31"/>
        <v>18</v>
      </c>
      <c r="L701">
        <f t="shared" si="30"/>
        <v>92</v>
      </c>
      <c r="M701" t="str">
        <f t="shared" si="32"/>
        <v>Older Adults</v>
      </c>
    </row>
    <row r="702" spans="1:13" x14ac:dyDescent="0.25">
      <c r="A702" t="s">
        <v>1557</v>
      </c>
      <c r="B702" t="s">
        <v>1558</v>
      </c>
      <c r="C702" s="6">
        <v>13008</v>
      </c>
      <c r="D702" t="s">
        <v>27</v>
      </c>
      <c r="E702" t="s">
        <v>47</v>
      </c>
      <c r="F702" t="s">
        <v>188</v>
      </c>
      <c r="G702" t="s">
        <v>48</v>
      </c>
      <c r="H702" s="6">
        <v>45154</v>
      </c>
      <c r="I702" s="6">
        <v>45173</v>
      </c>
      <c r="J702" s="4">
        <v>6550.66</v>
      </c>
      <c r="K702">
        <f t="shared" si="31"/>
        <v>19</v>
      </c>
      <c r="L702">
        <f t="shared" si="30"/>
        <v>88</v>
      </c>
      <c r="M702" t="str">
        <f t="shared" si="32"/>
        <v>Older Adults</v>
      </c>
    </row>
    <row r="703" spans="1:13" x14ac:dyDescent="0.25">
      <c r="A703" t="s">
        <v>1559</v>
      </c>
      <c r="B703" t="s">
        <v>1560</v>
      </c>
      <c r="C703" s="6">
        <v>16106</v>
      </c>
      <c r="D703" t="s">
        <v>27</v>
      </c>
      <c r="E703" t="s">
        <v>281</v>
      </c>
      <c r="F703" t="s">
        <v>13</v>
      </c>
      <c r="G703" t="s">
        <v>437</v>
      </c>
      <c r="H703" s="6">
        <v>45155</v>
      </c>
      <c r="I703" s="6">
        <v>45178</v>
      </c>
      <c r="J703" s="4">
        <v>41795.15</v>
      </c>
      <c r="K703">
        <f t="shared" si="31"/>
        <v>23</v>
      </c>
      <c r="L703">
        <f t="shared" si="30"/>
        <v>79</v>
      </c>
      <c r="M703" t="str">
        <f t="shared" si="32"/>
        <v>Older Adults</v>
      </c>
    </row>
    <row r="704" spans="1:13" x14ac:dyDescent="0.25">
      <c r="A704" t="s">
        <v>1561</v>
      </c>
      <c r="B704" t="s">
        <v>1562</v>
      </c>
      <c r="C704" s="6">
        <v>26236</v>
      </c>
      <c r="D704" t="s">
        <v>27</v>
      </c>
      <c r="E704" t="s">
        <v>362</v>
      </c>
      <c r="F704" t="s">
        <v>799</v>
      </c>
      <c r="G704" t="s">
        <v>603</v>
      </c>
      <c r="H704" s="6">
        <v>45155</v>
      </c>
      <c r="I704" s="6">
        <v>45173</v>
      </c>
      <c r="J704" s="4">
        <v>15882.47</v>
      </c>
      <c r="K704">
        <f t="shared" si="31"/>
        <v>18</v>
      </c>
      <c r="L704">
        <f t="shared" si="30"/>
        <v>51</v>
      </c>
      <c r="M704" t="str">
        <f t="shared" si="32"/>
        <v>Adults</v>
      </c>
    </row>
    <row r="705" spans="1:13" x14ac:dyDescent="0.25">
      <c r="A705" t="s">
        <v>1563</v>
      </c>
      <c r="B705" t="s">
        <v>1564</v>
      </c>
      <c r="C705" s="6">
        <v>26824</v>
      </c>
      <c r="D705" t="s">
        <v>27</v>
      </c>
      <c r="E705" t="s">
        <v>362</v>
      </c>
      <c r="F705" t="s">
        <v>799</v>
      </c>
      <c r="G705" t="s">
        <v>363</v>
      </c>
      <c r="H705" s="6">
        <v>45156</v>
      </c>
      <c r="I705" s="6">
        <v>45166</v>
      </c>
      <c r="J705" s="4">
        <v>5943.08</v>
      </c>
      <c r="K705">
        <f t="shared" si="31"/>
        <v>10</v>
      </c>
      <c r="L705">
        <f t="shared" si="30"/>
        <v>50</v>
      </c>
      <c r="M705" t="str">
        <f t="shared" si="32"/>
        <v>Adults</v>
      </c>
    </row>
    <row r="706" spans="1:13" x14ac:dyDescent="0.25">
      <c r="A706" t="s">
        <v>1565</v>
      </c>
      <c r="B706" t="s">
        <v>1566</v>
      </c>
      <c r="C706" s="6">
        <v>20867</v>
      </c>
      <c r="D706" t="s">
        <v>27</v>
      </c>
      <c r="E706" t="s">
        <v>72</v>
      </c>
      <c r="F706" t="s">
        <v>13</v>
      </c>
      <c r="G706" t="s">
        <v>278</v>
      </c>
      <c r="H706" s="6">
        <v>45156</v>
      </c>
      <c r="I706" s="6">
        <v>45168</v>
      </c>
      <c r="J706" s="4">
        <v>2293.64</v>
      </c>
      <c r="K706">
        <f t="shared" si="31"/>
        <v>12</v>
      </c>
      <c r="L706">
        <f t="shared" ref="L706:L769" si="33">IF(C706&gt;H706,"Invalid DOB",DATEDIF(C706,H706,"Y"))</f>
        <v>66</v>
      </c>
      <c r="M706" t="str">
        <f t="shared" si="32"/>
        <v>Older Adults</v>
      </c>
    </row>
    <row r="707" spans="1:13" x14ac:dyDescent="0.25">
      <c r="A707" t="s">
        <v>1567</v>
      </c>
      <c r="B707" t="s">
        <v>1568</v>
      </c>
      <c r="C707" s="6">
        <v>8733</v>
      </c>
      <c r="D707" t="s">
        <v>11</v>
      </c>
      <c r="E707" t="s">
        <v>97</v>
      </c>
      <c r="F707" t="s">
        <v>540</v>
      </c>
      <c r="G707" t="s">
        <v>99</v>
      </c>
      <c r="H707" s="6">
        <v>45158</v>
      </c>
      <c r="I707" s="6">
        <v>45183</v>
      </c>
      <c r="J707" s="4">
        <v>928.95</v>
      </c>
      <c r="K707">
        <f t="shared" ref="K707:K770" si="34">I707-H707</f>
        <v>25</v>
      </c>
      <c r="L707">
        <f t="shared" si="33"/>
        <v>99</v>
      </c>
      <c r="M707" t="str">
        <f t="shared" ref="M707:M770" si="35">IF(L707="Invalid DOB","Invalid DOB",IF(L707&lt;=4,"Early childhood",IF(L707&lt;=17,"Children and Adolescent",IF(L707&lt;=24,"Young Adults",IF(L707&lt;=59,"Adults","Older Adults")))))</f>
        <v>Older Adults</v>
      </c>
    </row>
    <row r="708" spans="1:13" x14ac:dyDescent="0.25">
      <c r="A708" t="s">
        <v>1569</v>
      </c>
      <c r="B708" t="s">
        <v>1570</v>
      </c>
      <c r="C708" s="6">
        <v>12521</v>
      </c>
      <c r="D708" t="s">
        <v>27</v>
      </c>
      <c r="E708" t="s">
        <v>302</v>
      </c>
      <c r="F708" t="s">
        <v>13</v>
      </c>
      <c r="G708" t="s">
        <v>303</v>
      </c>
      <c r="H708" s="6">
        <v>45158</v>
      </c>
      <c r="I708" s="6">
        <v>45184</v>
      </c>
      <c r="J708" s="4">
        <v>10948.89</v>
      </c>
      <c r="K708">
        <f t="shared" si="34"/>
        <v>26</v>
      </c>
      <c r="L708">
        <f t="shared" si="33"/>
        <v>89</v>
      </c>
      <c r="M708" t="str">
        <f t="shared" si="35"/>
        <v>Older Adults</v>
      </c>
    </row>
    <row r="709" spans="1:13" x14ac:dyDescent="0.25">
      <c r="A709" t="s">
        <v>1571</v>
      </c>
      <c r="B709" t="s">
        <v>1572</v>
      </c>
      <c r="C709" s="6">
        <v>32435</v>
      </c>
      <c r="D709" t="s">
        <v>27</v>
      </c>
      <c r="E709" t="s">
        <v>271</v>
      </c>
      <c r="F709" t="s">
        <v>299</v>
      </c>
      <c r="G709" t="s">
        <v>313</v>
      </c>
      <c r="H709" s="6">
        <v>45158</v>
      </c>
      <c r="I709" s="6">
        <v>45177</v>
      </c>
      <c r="J709" s="4">
        <v>256.97000000000003</v>
      </c>
      <c r="K709">
        <f t="shared" si="34"/>
        <v>19</v>
      </c>
      <c r="L709">
        <f t="shared" si="33"/>
        <v>34</v>
      </c>
      <c r="M709" t="str">
        <f t="shared" si="35"/>
        <v>Adults</v>
      </c>
    </row>
    <row r="710" spans="1:13" x14ac:dyDescent="0.25">
      <c r="A710" t="s">
        <v>1573</v>
      </c>
      <c r="B710" t="s">
        <v>1574</v>
      </c>
      <c r="C710" s="6">
        <v>32053</v>
      </c>
      <c r="D710" t="s">
        <v>27</v>
      </c>
      <c r="E710" t="s">
        <v>33</v>
      </c>
      <c r="F710" t="s">
        <v>34</v>
      </c>
      <c r="G710" t="s">
        <v>478</v>
      </c>
      <c r="H710" s="6">
        <v>45159</v>
      </c>
      <c r="I710" s="6">
        <v>45162</v>
      </c>
      <c r="J710" s="4">
        <v>3983.04</v>
      </c>
      <c r="K710">
        <f t="shared" si="34"/>
        <v>3</v>
      </c>
      <c r="L710">
        <f t="shared" si="33"/>
        <v>35</v>
      </c>
      <c r="M710" t="str">
        <f t="shared" si="35"/>
        <v>Adults</v>
      </c>
    </row>
    <row r="711" spans="1:13" x14ac:dyDescent="0.25">
      <c r="A711" t="s">
        <v>1575</v>
      </c>
      <c r="B711" t="s">
        <v>1576</v>
      </c>
      <c r="C711" s="6">
        <v>33032</v>
      </c>
      <c r="D711" t="s">
        <v>27</v>
      </c>
      <c r="E711" t="s">
        <v>72</v>
      </c>
      <c r="F711" t="s">
        <v>13</v>
      </c>
      <c r="G711" t="s">
        <v>74</v>
      </c>
      <c r="H711" s="6">
        <v>45159</v>
      </c>
      <c r="I711" s="6">
        <v>45174</v>
      </c>
      <c r="J711" s="4">
        <v>2389.81</v>
      </c>
      <c r="K711">
        <f t="shared" si="34"/>
        <v>15</v>
      </c>
      <c r="L711">
        <f t="shared" si="33"/>
        <v>33</v>
      </c>
      <c r="M711" t="str">
        <f t="shared" si="35"/>
        <v>Adults</v>
      </c>
    </row>
    <row r="712" spans="1:13" x14ac:dyDescent="0.25">
      <c r="A712" t="s">
        <v>1577</v>
      </c>
      <c r="B712" t="s">
        <v>1578</v>
      </c>
      <c r="C712" s="6">
        <v>22906</v>
      </c>
      <c r="D712" t="s">
        <v>11</v>
      </c>
      <c r="E712" t="s">
        <v>12</v>
      </c>
      <c r="F712" t="s">
        <v>13</v>
      </c>
      <c r="G712" t="s">
        <v>69</v>
      </c>
      <c r="H712" s="6">
        <v>45161</v>
      </c>
      <c r="I712" s="6">
        <v>45191</v>
      </c>
      <c r="J712" s="4">
        <v>11959.93</v>
      </c>
      <c r="K712">
        <f t="shared" si="34"/>
        <v>30</v>
      </c>
      <c r="L712">
        <f t="shared" si="33"/>
        <v>60</v>
      </c>
      <c r="M712" t="str">
        <f t="shared" si="35"/>
        <v>Older Adults</v>
      </c>
    </row>
    <row r="713" spans="1:13" x14ac:dyDescent="0.25">
      <c r="A713" s="1" t="s">
        <v>1579</v>
      </c>
      <c r="B713" t="s">
        <v>1580</v>
      </c>
      <c r="C713" s="6">
        <v>10789</v>
      </c>
      <c r="D713" t="s">
        <v>11</v>
      </c>
      <c r="E713" t="s">
        <v>152</v>
      </c>
      <c r="F713" t="s">
        <v>13</v>
      </c>
      <c r="G713" t="s">
        <v>214</v>
      </c>
      <c r="H713" s="6">
        <v>45162</v>
      </c>
      <c r="I713" s="6">
        <v>45187</v>
      </c>
      <c r="J713" s="4">
        <v>13513.47</v>
      </c>
      <c r="K713">
        <f t="shared" si="34"/>
        <v>25</v>
      </c>
      <c r="L713">
        <f t="shared" si="33"/>
        <v>94</v>
      </c>
      <c r="M713" t="str">
        <f t="shared" si="35"/>
        <v>Older Adults</v>
      </c>
    </row>
    <row r="714" spans="1:13" x14ac:dyDescent="0.25">
      <c r="A714" t="s">
        <v>1581</v>
      </c>
      <c r="B714" t="s">
        <v>1582</v>
      </c>
      <c r="C714" s="6">
        <v>8689</v>
      </c>
      <c r="D714" t="s">
        <v>11</v>
      </c>
      <c r="E714" t="s">
        <v>38</v>
      </c>
      <c r="F714" t="s">
        <v>39</v>
      </c>
      <c r="G714" t="s">
        <v>40</v>
      </c>
      <c r="H714" s="6">
        <v>45164</v>
      </c>
      <c r="I714" s="6">
        <v>45183</v>
      </c>
      <c r="J714" s="4">
        <v>1299.07</v>
      </c>
      <c r="K714">
        <f t="shared" si="34"/>
        <v>19</v>
      </c>
      <c r="L714">
        <f t="shared" si="33"/>
        <v>99</v>
      </c>
      <c r="M714" t="str">
        <f t="shared" si="35"/>
        <v>Older Adults</v>
      </c>
    </row>
    <row r="715" spans="1:13" x14ac:dyDescent="0.25">
      <c r="A715" t="s">
        <v>1583</v>
      </c>
      <c r="B715" t="s">
        <v>1584</v>
      </c>
      <c r="C715" s="6">
        <v>13357</v>
      </c>
      <c r="D715" t="s">
        <v>27</v>
      </c>
      <c r="E715" t="s">
        <v>127</v>
      </c>
      <c r="F715" t="s">
        <v>994</v>
      </c>
      <c r="G715" t="s">
        <v>24</v>
      </c>
      <c r="H715" s="6">
        <v>45164</v>
      </c>
      <c r="I715" s="6">
        <v>45181</v>
      </c>
      <c r="J715" s="4">
        <v>1623.21</v>
      </c>
      <c r="K715">
        <f t="shared" si="34"/>
        <v>17</v>
      </c>
      <c r="L715">
        <f t="shared" si="33"/>
        <v>87</v>
      </c>
      <c r="M715" t="str">
        <f t="shared" si="35"/>
        <v>Older Adults</v>
      </c>
    </row>
    <row r="716" spans="1:13" x14ac:dyDescent="0.25">
      <c r="A716" t="s">
        <v>1585</v>
      </c>
      <c r="B716" t="s">
        <v>1586</v>
      </c>
      <c r="C716" s="6">
        <v>13094</v>
      </c>
      <c r="D716" t="s">
        <v>11</v>
      </c>
      <c r="E716" t="s">
        <v>271</v>
      </c>
      <c r="F716" t="s">
        <v>272</v>
      </c>
      <c r="G716" t="s">
        <v>385</v>
      </c>
      <c r="H716" s="6">
        <v>45165</v>
      </c>
      <c r="I716" s="6">
        <v>45180</v>
      </c>
      <c r="J716" s="4">
        <v>556.72</v>
      </c>
      <c r="K716">
        <f t="shared" si="34"/>
        <v>15</v>
      </c>
      <c r="L716">
        <f t="shared" si="33"/>
        <v>87</v>
      </c>
      <c r="M716" t="str">
        <f t="shared" si="35"/>
        <v>Older Adults</v>
      </c>
    </row>
    <row r="717" spans="1:13" x14ac:dyDescent="0.25">
      <c r="A717" t="s">
        <v>1587</v>
      </c>
      <c r="B717" t="s">
        <v>1588</v>
      </c>
      <c r="C717" s="6">
        <v>22566</v>
      </c>
      <c r="D717" t="s">
        <v>27</v>
      </c>
      <c r="E717" t="s">
        <v>362</v>
      </c>
      <c r="F717" t="s">
        <v>110</v>
      </c>
      <c r="G717" t="s">
        <v>363</v>
      </c>
      <c r="H717" s="6">
        <v>45166</v>
      </c>
      <c r="I717" s="6">
        <v>45182</v>
      </c>
      <c r="J717" s="4">
        <v>12426.2</v>
      </c>
      <c r="K717">
        <f t="shared" si="34"/>
        <v>16</v>
      </c>
      <c r="L717">
        <f t="shared" si="33"/>
        <v>61</v>
      </c>
      <c r="M717" t="str">
        <f t="shared" si="35"/>
        <v>Older Adults</v>
      </c>
    </row>
    <row r="718" spans="1:13" x14ac:dyDescent="0.25">
      <c r="A718" t="s">
        <v>1589</v>
      </c>
      <c r="B718" t="s">
        <v>1590</v>
      </c>
      <c r="C718" s="6">
        <v>13125</v>
      </c>
      <c r="D718" t="s">
        <v>27</v>
      </c>
      <c r="E718" t="s">
        <v>65</v>
      </c>
      <c r="F718" t="s">
        <v>114</v>
      </c>
      <c r="G718" t="s">
        <v>66</v>
      </c>
      <c r="H718" s="6">
        <v>45168</v>
      </c>
      <c r="I718" s="6">
        <v>45169</v>
      </c>
      <c r="J718" s="4">
        <v>375.38</v>
      </c>
      <c r="K718">
        <f t="shared" si="34"/>
        <v>1</v>
      </c>
      <c r="L718">
        <f t="shared" si="33"/>
        <v>87</v>
      </c>
      <c r="M718" t="str">
        <f t="shared" si="35"/>
        <v>Older Adults</v>
      </c>
    </row>
    <row r="719" spans="1:13" x14ac:dyDescent="0.25">
      <c r="A719" t="s">
        <v>1591</v>
      </c>
      <c r="B719" t="s">
        <v>1592</v>
      </c>
      <c r="C719" s="6">
        <v>42658</v>
      </c>
      <c r="D719" t="s">
        <v>27</v>
      </c>
      <c r="E719" t="s">
        <v>271</v>
      </c>
      <c r="F719" t="s">
        <v>272</v>
      </c>
      <c r="G719" t="s">
        <v>313</v>
      </c>
      <c r="H719" s="6">
        <v>45168</v>
      </c>
      <c r="I719" s="6">
        <v>45190</v>
      </c>
      <c r="J719" s="4">
        <v>672.73</v>
      </c>
      <c r="K719">
        <f t="shared" si="34"/>
        <v>22</v>
      </c>
      <c r="L719">
        <f t="shared" si="33"/>
        <v>6</v>
      </c>
      <c r="M719" t="str">
        <f t="shared" si="35"/>
        <v>Children and Adolescent</v>
      </c>
    </row>
    <row r="720" spans="1:13" x14ac:dyDescent="0.25">
      <c r="A720" t="s">
        <v>1593</v>
      </c>
      <c r="B720" t="s">
        <v>1594</v>
      </c>
      <c r="C720" s="6">
        <v>45119</v>
      </c>
      <c r="D720" t="s">
        <v>27</v>
      </c>
      <c r="E720" t="s">
        <v>120</v>
      </c>
      <c r="F720" t="s">
        <v>114</v>
      </c>
      <c r="G720" t="s">
        <v>121</v>
      </c>
      <c r="H720" s="6">
        <v>45169</v>
      </c>
      <c r="I720" s="6">
        <v>45180</v>
      </c>
      <c r="J720" s="4">
        <v>2498.7800000000002</v>
      </c>
      <c r="K720">
        <f t="shared" si="34"/>
        <v>11</v>
      </c>
      <c r="L720">
        <f t="shared" si="33"/>
        <v>0</v>
      </c>
      <c r="M720" t="str">
        <f t="shared" si="35"/>
        <v>Early childhood</v>
      </c>
    </row>
    <row r="721" spans="1:13" x14ac:dyDescent="0.25">
      <c r="A721" t="s">
        <v>1595</v>
      </c>
      <c r="B721" t="s">
        <v>1596</v>
      </c>
      <c r="C721" s="6">
        <v>20489</v>
      </c>
      <c r="D721" t="s">
        <v>27</v>
      </c>
      <c r="E721" t="s">
        <v>51</v>
      </c>
      <c r="F721" t="s">
        <v>29</v>
      </c>
      <c r="G721" t="s">
        <v>662</v>
      </c>
      <c r="H721" s="6">
        <v>45169</v>
      </c>
      <c r="I721" s="6">
        <v>45177</v>
      </c>
      <c r="J721" s="4">
        <v>3105.85</v>
      </c>
      <c r="K721">
        <f t="shared" si="34"/>
        <v>8</v>
      </c>
      <c r="L721">
        <f t="shared" si="33"/>
        <v>67</v>
      </c>
      <c r="M721" t="str">
        <f t="shared" si="35"/>
        <v>Older Adults</v>
      </c>
    </row>
    <row r="722" spans="1:13" x14ac:dyDescent="0.25">
      <c r="A722" t="s">
        <v>1597</v>
      </c>
      <c r="B722" t="s">
        <v>1598</v>
      </c>
      <c r="C722" s="6">
        <v>12318</v>
      </c>
      <c r="D722" t="s">
        <v>27</v>
      </c>
      <c r="E722" t="s">
        <v>22</v>
      </c>
      <c r="F722" t="s">
        <v>110</v>
      </c>
      <c r="G722" t="s">
        <v>107</v>
      </c>
      <c r="H722" s="6">
        <v>45169</v>
      </c>
      <c r="I722" s="6">
        <v>45178</v>
      </c>
      <c r="J722" s="4">
        <v>789.68</v>
      </c>
      <c r="K722">
        <f t="shared" si="34"/>
        <v>9</v>
      </c>
      <c r="L722">
        <f t="shared" si="33"/>
        <v>89</v>
      </c>
      <c r="M722" t="str">
        <f t="shared" si="35"/>
        <v>Older Adults</v>
      </c>
    </row>
    <row r="723" spans="1:13" x14ac:dyDescent="0.25">
      <c r="A723" t="s">
        <v>1599</v>
      </c>
      <c r="B723" t="s">
        <v>1600</v>
      </c>
      <c r="C723" s="6">
        <v>40562</v>
      </c>
      <c r="D723" t="s">
        <v>11</v>
      </c>
      <c r="E723" t="s">
        <v>80</v>
      </c>
      <c r="F723" t="s">
        <v>13</v>
      </c>
      <c r="G723" t="s">
        <v>444</v>
      </c>
      <c r="H723" s="6">
        <v>45170</v>
      </c>
      <c r="I723" s="6">
        <v>45175</v>
      </c>
      <c r="J723" s="4">
        <v>8364.84</v>
      </c>
      <c r="K723">
        <f t="shared" si="34"/>
        <v>5</v>
      </c>
      <c r="L723">
        <f t="shared" si="33"/>
        <v>12</v>
      </c>
      <c r="M723" t="str">
        <f t="shared" si="35"/>
        <v>Children and Adolescent</v>
      </c>
    </row>
    <row r="724" spans="1:13" x14ac:dyDescent="0.25">
      <c r="A724" t="s">
        <v>1601</v>
      </c>
      <c r="B724" t="s">
        <v>1602</v>
      </c>
      <c r="C724" s="6">
        <v>22952</v>
      </c>
      <c r="D724" t="s">
        <v>27</v>
      </c>
      <c r="E724" t="s">
        <v>362</v>
      </c>
      <c r="F724" t="s">
        <v>799</v>
      </c>
      <c r="G724" t="s">
        <v>363</v>
      </c>
      <c r="H724" s="6">
        <v>45174</v>
      </c>
      <c r="I724" s="6">
        <v>45194</v>
      </c>
      <c r="J724" s="4">
        <v>10573.24</v>
      </c>
      <c r="K724">
        <f t="shared" si="34"/>
        <v>20</v>
      </c>
      <c r="L724">
        <f t="shared" si="33"/>
        <v>60</v>
      </c>
      <c r="M724" t="str">
        <f t="shared" si="35"/>
        <v>Older Adults</v>
      </c>
    </row>
    <row r="725" spans="1:13" x14ac:dyDescent="0.25">
      <c r="A725" t="s">
        <v>1603</v>
      </c>
      <c r="B725" t="s">
        <v>1604</v>
      </c>
      <c r="C725" s="6">
        <v>25036</v>
      </c>
      <c r="D725" t="s">
        <v>11</v>
      </c>
      <c r="E725" t="s">
        <v>302</v>
      </c>
      <c r="F725" t="s">
        <v>29</v>
      </c>
      <c r="G725" t="s">
        <v>399</v>
      </c>
      <c r="H725" s="6">
        <v>45175</v>
      </c>
      <c r="I725" s="6">
        <v>45190</v>
      </c>
      <c r="J725" s="4">
        <v>19132.09</v>
      </c>
      <c r="K725">
        <f t="shared" si="34"/>
        <v>15</v>
      </c>
      <c r="L725">
        <f t="shared" si="33"/>
        <v>55</v>
      </c>
      <c r="M725" t="str">
        <f t="shared" si="35"/>
        <v>Adults</v>
      </c>
    </row>
    <row r="726" spans="1:13" x14ac:dyDescent="0.25">
      <c r="A726" t="s">
        <v>1605</v>
      </c>
      <c r="B726" t="s">
        <v>1606</v>
      </c>
      <c r="C726" s="6">
        <v>10928</v>
      </c>
      <c r="D726" t="s">
        <v>27</v>
      </c>
      <c r="E726" t="s">
        <v>127</v>
      </c>
      <c r="F726" t="s">
        <v>114</v>
      </c>
      <c r="G726" t="s">
        <v>24</v>
      </c>
      <c r="H726" s="6">
        <v>45175</v>
      </c>
      <c r="I726" s="6">
        <v>45203</v>
      </c>
      <c r="J726" s="4">
        <v>1497.04</v>
      </c>
      <c r="K726">
        <f t="shared" si="34"/>
        <v>28</v>
      </c>
      <c r="L726">
        <f t="shared" si="33"/>
        <v>93</v>
      </c>
      <c r="M726" t="str">
        <f t="shared" si="35"/>
        <v>Older Adults</v>
      </c>
    </row>
    <row r="727" spans="1:13" x14ac:dyDescent="0.25">
      <c r="A727" t="s">
        <v>1607</v>
      </c>
      <c r="B727" t="s">
        <v>1608</v>
      </c>
      <c r="C727" s="6">
        <v>35270</v>
      </c>
      <c r="D727" t="s">
        <v>27</v>
      </c>
      <c r="E727" t="s">
        <v>33</v>
      </c>
      <c r="F727" t="s">
        <v>34</v>
      </c>
      <c r="G727" t="s">
        <v>478</v>
      </c>
      <c r="H727" s="6">
        <v>45176</v>
      </c>
      <c r="I727" s="6">
        <v>45191</v>
      </c>
      <c r="J727" s="4">
        <v>2611.62</v>
      </c>
      <c r="K727">
        <f t="shared" si="34"/>
        <v>15</v>
      </c>
      <c r="L727">
        <f t="shared" si="33"/>
        <v>27</v>
      </c>
      <c r="M727" t="str">
        <f t="shared" si="35"/>
        <v>Adults</v>
      </c>
    </row>
    <row r="728" spans="1:13" x14ac:dyDescent="0.25">
      <c r="A728" t="s">
        <v>1609</v>
      </c>
      <c r="B728" t="s">
        <v>1610</v>
      </c>
      <c r="C728" s="6">
        <v>12381</v>
      </c>
      <c r="D728" t="s">
        <v>27</v>
      </c>
      <c r="E728" t="s">
        <v>362</v>
      </c>
      <c r="F728" t="s">
        <v>172</v>
      </c>
      <c r="G728" t="s">
        <v>659</v>
      </c>
      <c r="H728" s="6">
        <v>45176</v>
      </c>
      <c r="I728" s="6">
        <v>45187</v>
      </c>
      <c r="J728" s="4">
        <v>15263.7</v>
      </c>
      <c r="K728">
        <f t="shared" si="34"/>
        <v>11</v>
      </c>
      <c r="L728">
        <f t="shared" si="33"/>
        <v>89</v>
      </c>
      <c r="M728" t="str">
        <f t="shared" si="35"/>
        <v>Older Adults</v>
      </c>
    </row>
    <row r="729" spans="1:13" x14ac:dyDescent="0.25">
      <c r="A729" t="s">
        <v>1611</v>
      </c>
      <c r="B729" t="s">
        <v>1612</v>
      </c>
      <c r="C729" s="6">
        <v>32115</v>
      </c>
      <c r="D729" t="s">
        <v>27</v>
      </c>
      <c r="E729" t="s">
        <v>65</v>
      </c>
      <c r="F729" t="s">
        <v>518</v>
      </c>
      <c r="G729" t="s">
        <v>346</v>
      </c>
      <c r="H729" s="6">
        <v>45177</v>
      </c>
      <c r="I729" s="6">
        <v>45202</v>
      </c>
      <c r="J729" s="4">
        <v>223.36</v>
      </c>
      <c r="K729">
        <f t="shared" si="34"/>
        <v>25</v>
      </c>
      <c r="L729">
        <f t="shared" si="33"/>
        <v>35</v>
      </c>
      <c r="M729" t="str">
        <f t="shared" si="35"/>
        <v>Adults</v>
      </c>
    </row>
    <row r="730" spans="1:13" x14ac:dyDescent="0.25">
      <c r="A730" t="s">
        <v>1613</v>
      </c>
      <c r="B730" t="s">
        <v>1614</v>
      </c>
      <c r="C730" s="6">
        <v>22159</v>
      </c>
      <c r="D730" t="s">
        <v>27</v>
      </c>
      <c r="E730" t="s">
        <v>281</v>
      </c>
      <c r="F730" t="s">
        <v>13</v>
      </c>
      <c r="G730" t="s">
        <v>282</v>
      </c>
      <c r="H730" s="6">
        <v>45179</v>
      </c>
      <c r="I730" s="6">
        <v>45197</v>
      </c>
      <c r="J730" s="4">
        <v>37523.1</v>
      </c>
      <c r="K730">
        <f t="shared" si="34"/>
        <v>18</v>
      </c>
      <c r="L730">
        <f t="shared" si="33"/>
        <v>63</v>
      </c>
      <c r="M730" t="str">
        <f t="shared" si="35"/>
        <v>Older Adults</v>
      </c>
    </row>
    <row r="731" spans="1:13" x14ac:dyDescent="0.25">
      <c r="A731" t="s">
        <v>1615</v>
      </c>
      <c r="B731" t="s">
        <v>1616</v>
      </c>
      <c r="C731" s="6">
        <v>29827</v>
      </c>
      <c r="D731" t="s">
        <v>27</v>
      </c>
      <c r="E731" t="s">
        <v>60</v>
      </c>
      <c r="F731" t="s">
        <v>88</v>
      </c>
      <c r="G731" t="s">
        <v>149</v>
      </c>
      <c r="H731" s="6">
        <v>45181</v>
      </c>
      <c r="I731" s="6">
        <v>45192</v>
      </c>
      <c r="J731" s="4">
        <v>34893.279999999999</v>
      </c>
      <c r="K731">
        <f t="shared" si="34"/>
        <v>11</v>
      </c>
      <c r="L731">
        <f t="shared" si="33"/>
        <v>42</v>
      </c>
      <c r="M731" t="str">
        <f t="shared" si="35"/>
        <v>Adults</v>
      </c>
    </row>
    <row r="732" spans="1:13" x14ac:dyDescent="0.25">
      <c r="A732" t="s">
        <v>1617</v>
      </c>
      <c r="B732" t="s">
        <v>1618</v>
      </c>
      <c r="C732" s="6">
        <v>41906</v>
      </c>
      <c r="D732" t="s">
        <v>27</v>
      </c>
      <c r="E732" t="s">
        <v>362</v>
      </c>
      <c r="F732" t="s">
        <v>799</v>
      </c>
      <c r="G732" t="s">
        <v>659</v>
      </c>
      <c r="H732" s="6">
        <v>45181</v>
      </c>
      <c r="I732" s="6">
        <v>45188</v>
      </c>
      <c r="J732" s="4">
        <v>15379.4</v>
      </c>
      <c r="K732">
        <f t="shared" si="34"/>
        <v>7</v>
      </c>
      <c r="L732">
        <f t="shared" si="33"/>
        <v>8</v>
      </c>
      <c r="M732" t="str">
        <f t="shared" si="35"/>
        <v>Children and Adolescent</v>
      </c>
    </row>
    <row r="733" spans="1:13" x14ac:dyDescent="0.25">
      <c r="A733" t="s">
        <v>1619</v>
      </c>
      <c r="B733" t="s">
        <v>1620</v>
      </c>
      <c r="C733" s="6">
        <v>44124</v>
      </c>
      <c r="D733" t="s">
        <v>27</v>
      </c>
      <c r="E733" t="s">
        <v>60</v>
      </c>
      <c r="F733" t="s">
        <v>188</v>
      </c>
      <c r="G733" t="s">
        <v>149</v>
      </c>
      <c r="H733" s="6">
        <v>45182</v>
      </c>
      <c r="I733" s="6">
        <v>45188</v>
      </c>
      <c r="J733" s="4">
        <v>66497.34</v>
      </c>
      <c r="K733">
        <f t="shared" si="34"/>
        <v>6</v>
      </c>
      <c r="L733">
        <f t="shared" si="33"/>
        <v>2</v>
      </c>
      <c r="M733" t="str">
        <f t="shared" si="35"/>
        <v>Early childhood</v>
      </c>
    </row>
    <row r="734" spans="1:13" x14ac:dyDescent="0.25">
      <c r="A734" t="s">
        <v>1621</v>
      </c>
      <c r="B734" t="s">
        <v>1622</v>
      </c>
      <c r="C734" s="6">
        <v>38491</v>
      </c>
      <c r="D734" t="s">
        <v>11</v>
      </c>
      <c r="E734" t="s">
        <v>120</v>
      </c>
      <c r="F734" t="s">
        <v>23</v>
      </c>
      <c r="G734" t="s">
        <v>515</v>
      </c>
      <c r="H734" s="6">
        <v>45182</v>
      </c>
      <c r="I734" s="6">
        <v>45188</v>
      </c>
      <c r="J734" s="4">
        <v>1697.66</v>
      </c>
      <c r="K734">
        <f t="shared" si="34"/>
        <v>6</v>
      </c>
      <c r="L734">
        <f t="shared" si="33"/>
        <v>18</v>
      </c>
      <c r="M734" t="str">
        <f t="shared" si="35"/>
        <v>Young Adults</v>
      </c>
    </row>
    <row r="735" spans="1:13" x14ac:dyDescent="0.25">
      <c r="A735" t="s">
        <v>1623</v>
      </c>
      <c r="B735" t="s">
        <v>1624</v>
      </c>
      <c r="C735" s="6">
        <v>19144</v>
      </c>
      <c r="D735" t="s">
        <v>27</v>
      </c>
      <c r="E735" t="s">
        <v>120</v>
      </c>
      <c r="F735" t="s">
        <v>114</v>
      </c>
      <c r="G735" t="s">
        <v>306</v>
      </c>
      <c r="H735" s="6">
        <v>45183</v>
      </c>
      <c r="I735" s="6">
        <v>45207</v>
      </c>
      <c r="J735" s="4">
        <v>2979.77</v>
      </c>
      <c r="K735">
        <f t="shared" si="34"/>
        <v>24</v>
      </c>
      <c r="L735">
        <f t="shared" si="33"/>
        <v>71</v>
      </c>
      <c r="M735" t="str">
        <f t="shared" si="35"/>
        <v>Older Adults</v>
      </c>
    </row>
    <row r="736" spans="1:13" x14ac:dyDescent="0.25">
      <c r="A736" t="s">
        <v>1625</v>
      </c>
      <c r="B736" t="s">
        <v>1626</v>
      </c>
      <c r="C736" s="6">
        <v>32236</v>
      </c>
      <c r="D736" t="s">
        <v>27</v>
      </c>
      <c r="E736" t="s">
        <v>142</v>
      </c>
      <c r="F736" t="s">
        <v>114</v>
      </c>
      <c r="G736" t="s">
        <v>285</v>
      </c>
      <c r="H736" s="6">
        <v>45187</v>
      </c>
      <c r="I736" s="6">
        <v>45192</v>
      </c>
      <c r="J736" s="4">
        <v>1787.53</v>
      </c>
      <c r="K736">
        <f t="shared" si="34"/>
        <v>5</v>
      </c>
      <c r="L736">
        <f t="shared" si="33"/>
        <v>35</v>
      </c>
      <c r="M736" t="str">
        <f t="shared" si="35"/>
        <v>Adults</v>
      </c>
    </row>
    <row r="737" spans="1:13" x14ac:dyDescent="0.25">
      <c r="A737" t="s">
        <v>1627</v>
      </c>
      <c r="B737" t="s">
        <v>1628</v>
      </c>
      <c r="C737" s="6">
        <v>36481</v>
      </c>
      <c r="D737" t="s">
        <v>27</v>
      </c>
      <c r="E737" t="s">
        <v>38</v>
      </c>
      <c r="F737" t="s">
        <v>13</v>
      </c>
      <c r="G737" t="s">
        <v>77</v>
      </c>
      <c r="H737" s="6">
        <v>45188</v>
      </c>
      <c r="I737" s="6">
        <v>45205</v>
      </c>
      <c r="J737" s="4">
        <v>2938.48</v>
      </c>
      <c r="K737">
        <f t="shared" si="34"/>
        <v>17</v>
      </c>
      <c r="L737">
        <f t="shared" si="33"/>
        <v>23</v>
      </c>
      <c r="M737" t="str">
        <f t="shared" si="35"/>
        <v>Young Adults</v>
      </c>
    </row>
    <row r="738" spans="1:13" x14ac:dyDescent="0.25">
      <c r="A738" t="s">
        <v>1629</v>
      </c>
      <c r="B738" t="s">
        <v>1630</v>
      </c>
      <c r="C738" s="6">
        <v>35589</v>
      </c>
      <c r="D738" t="s">
        <v>27</v>
      </c>
      <c r="E738" t="s">
        <v>60</v>
      </c>
      <c r="F738" t="s">
        <v>188</v>
      </c>
      <c r="G738" t="s">
        <v>89</v>
      </c>
      <c r="H738" s="6">
        <v>45189</v>
      </c>
      <c r="I738" s="6">
        <v>45217</v>
      </c>
      <c r="J738" s="4">
        <v>55307.76</v>
      </c>
      <c r="K738">
        <f t="shared" si="34"/>
        <v>28</v>
      </c>
      <c r="L738">
        <f t="shared" si="33"/>
        <v>26</v>
      </c>
      <c r="M738" t="str">
        <f t="shared" si="35"/>
        <v>Adults</v>
      </c>
    </row>
    <row r="739" spans="1:13" x14ac:dyDescent="0.25">
      <c r="A739" t="s">
        <v>1631</v>
      </c>
      <c r="B739" t="s">
        <v>1632</v>
      </c>
      <c r="C739" s="6">
        <v>36717</v>
      </c>
      <c r="D739" t="s">
        <v>11</v>
      </c>
      <c r="E739" t="s">
        <v>12</v>
      </c>
      <c r="F739" t="s">
        <v>13</v>
      </c>
      <c r="G739" t="s">
        <v>173</v>
      </c>
      <c r="H739" s="6">
        <v>45189</v>
      </c>
      <c r="I739" s="6">
        <v>45204</v>
      </c>
      <c r="J739" s="4">
        <v>18274.509999999998</v>
      </c>
      <c r="K739">
        <f t="shared" si="34"/>
        <v>15</v>
      </c>
      <c r="L739">
        <f t="shared" si="33"/>
        <v>23</v>
      </c>
      <c r="M739" t="str">
        <f t="shared" si="35"/>
        <v>Young Adults</v>
      </c>
    </row>
    <row r="740" spans="1:13" x14ac:dyDescent="0.25">
      <c r="A740" t="s">
        <v>1633</v>
      </c>
      <c r="B740" t="s">
        <v>1634</v>
      </c>
      <c r="C740" s="6">
        <v>30511</v>
      </c>
      <c r="D740" t="s">
        <v>27</v>
      </c>
      <c r="E740" t="s">
        <v>84</v>
      </c>
      <c r="F740" t="s">
        <v>426</v>
      </c>
      <c r="G740" t="s">
        <v>238</v>
      </c>
      <c r="H740" s="6">
        <v>45189</v>
      </c>
      <c r="I740" s="6">
        <v>45208</v>
      </c>
      <c r="J740" s="4">
        <v>1385.07</v>
      </c>
      <c r="K740">
        <f t="shared" si="34"/>
        <v>19</v>
      </c>
      <c r="L740">
        <f t="shared" si="33"/>
        <v>40</v>
      </c>
      <c r="M740" t="str">
        <f t="shared" si="35"/>
        <v>Adults</v>
      </c>
    </row>
    <row r="741" spans="1:13" x14ac:dyDescent="0.25">
      <c r="A741" t="s">
        <v>1635</v>
      </c>
      <c r="B741" t="s">
        <v>1636</v>
      </c>
      <c r="C741" s="6">
        <v>13823</v>
      </c>
      <c r="D741" t="s">
        <v>27</v>
      </c>
      <c r="E741" t="s">
        <v>163</v>
      </c>
      <c r="F741" t="s">
        <v>13</v>
      </c>
      <c r="G741" t="s">
        <v>759</v>
      </c>
      <c r="H741" s="6">
        <v>45195</v>
      </c>
      <c r="I741" s="6">
        <v>45199</v>
      </c>
      <c r="J741" s="4">
        <v>29149.16</v>
      </c>
      <c r="K741">
        <f t="shared" si="34"/>
        <v>4</v>
      </c>
      <c r="L741">
        <f t="shared" si="33"/>
        <v>85</v>
      </c>
      <c r="M741" t="str">
        <f t="shared" si="35"/>
        <v>Older Adults</v>
      </c>
    </row>
    <row r="742" spans="1:13" x14ac:dyDescent="0.25">
      <c r="A742" t="s">
        <v>1637</v>
      </c>
      <c r="B742" t="s">
        <v>1638</v>
      </c>
      <c r="C742" s="6">
        <v>44993</v>
      </c>
      <c r="D742" t="s">
        <v>11</v>
      </c>
      <c r="E742" t="s">
        <v>12</v>
      </c>
      <c r="F742" t="s">
        <v>172</v>
      </c>
      <c r="G742" t="s">
        <v>69</v>
      </c>
      <c r="H742" s="6">
        <v>45195</v>
      </c>
      <c r="I742" s="6">
        <v>45200</v>
      </c>
      <c r="J742" s="4">
        <v>17777.41</v>
      </c>
      <c r="K742">
        <f t="shared" si="34"/>
        <v>5</v>
      </c>
      <c r="L742">
        <f t="shared" si="33"/>
        <v>0</v>
      </c>
      <c r="M742" t="str">
        <f t="shared" si="35"/>
        <v>Early childhood</v>
      </c>
    </row>
    <row r="743" spans="1:13" x14ac:dyDescent="0.25">
      <c r="A743" t="s">
        <v>1639</v>
      </c>
      <c r="B743" t="s">
        <v>1640</v>
      </c>
      <c r="C743" s="6">
        <v>11126</v>
      </c>
      <c r="D743" t="s">
        <v>11</v>
      </c>
      <c r="E743" t="s">
        <v>362</v>
      </c>
      <c r="F743" t="s">
        <v>799</v>
      </c>
      <c r="G743" t="s">
        <v>603</v>
      </c>
      <c r="H743" s="6">
        <v>45196</v>
      </c>
      <c r="I743" s="6">
        <v>45223</v>
      </c>
      <c r="J743" s="4">
        <v>16708.080000000002</v>
      </c>
      <c r="K743">
        <f t="shared" si="34"/>
        <v>27</v>
      </c>
      <c r="L743">
        <f t="shared" si="33"/>
        <v>93</v>
      </c>
      <c r="M743" t="str">
        <f t="shared" si="35"/>
        <v>Older Adults</v>
      </c>
    </row>
    <row r="744" spans="1:13" x14ac:dyDescent="0.25">
      <c r="A744" t="s">
        <v>1641</v>
      </c>
      <c r="B744" t="s">
        <v>1642</v>
      </c>
      <c r="C744" s="6">
        <v>27795</v>
      </c>
      <c r="D744" t="s">
        <v>11</v>
      </c>
      <c r="E744" t="s">
        <v>138</v>
      </c>
      <c r="F744" t="s">
        <v>209</v>
      </c>
      <c r="G744" t="s">
        <v>143</v>
      </c>
      <c r="H744" s="6">
        <v>45200</v>
      </c>
      <c r="I744" s="6">
        <v>45225</v>
      </c>
      <c r="J744" s="4">
        <v>2003.18</v>
      </c>
      <c r="K744">
        <f t="shared" si="34"/>
        <v>25</v>
      </c>
      <c r="L744">
        <f t="shared" si="33"/>
        <v>47</v>
      </c>
      <c r="M744" t="str">
        <f t="shared" si="35"/>
        <v>Adults</v>
      </c>
    </row>
    <row r="745" spans="1:13" x14ac:dyDescent="0.25">
      <c r="A745" t="s">
        <v>1643</v>
      </c>
      <c r="B745" t="s">
        <v>1644</v>
      </c>
      <c r="C745" s="6">
        <v>10174</v>
      </c>
      <c r="D745" t="s">
        <v>27</v>
      </c>
      <c r="E745" t="s">
        <v>127</v>
      </c>
      <c r="F745" t="s">
        <v>156</v>
      </c>
      <c r="G745" t="s">
        <v>157</v>
      </c>
      <c r="H745" s="6">
        <v>45200</v>
      </c>
      <c r="I745" s="6">
        <v>45214</v>
      </c>
      <c r="J745" s="4">
        <v>520.09</v>
      </c>
      <c r="K745">
        <f t="shared" si="34"/>
        <v>14</v>
      </c>
      <c r="L745">
        <f t="shared" si="33"/>
        <v>95</v>
      </c>
      <c r="M745" t="str">
        <f t="shared" si="35"/>
        <v>Older Adults</v>
      </c>
    </row>
    <row r="746" spans="1:13" x14ac:dyDescent="0.25">
      <c r="A746" t="s">
        <v>1645</v>
      </c>
      <c r="B746" t="s">
        <v>1646</v>
      </c>
      <c r="C746" s="6">
        <v>29599</v>
      </c>
      <c r="D746" t="s">
        <v>11</v>
      </c>
      <c r="E746" t="s">
        <v>22</v>
      </c>
      <c r="F746" t="s">
        <v>110</v>
      </c>
      <c r="G746" t="s">
        <v>111</v>
      </c>
      <c r="H746" s="6">
        <v>45201</v>
      </c>
      <c r="I746" s="6">
        <v>45209</v>
      </c>
      <c r="J746" s="4">
        <v>2027.53</v>
      </c>
      <c r="K746">
        <f t="shared" si="34"/>
        <v>8</v>
      </c>
      <c r="L746">
        <f t="shared" si="33"/>
        <v>42</v>
      </c>
      <c r="M746" t="str">
        <f t="shared" si="35"/>
        <v>Adults</v>
      </c>
    </row>
    <row r="747" spans="1:13" x14ac:dyDescent="0.25">
      <c r="A747" t="s">
        <v>1647</v>
      </c>
      <c r="B747" t="s">
        <v>907</v>
      </c>
      <c r="C747" s="6">
        <v>19775</v>
      </c>
      <c r="D747" t="s">
        <v>27</v>
      </c>
      <c r="E747" t="s">
        <v>84</v>
      </c>
      <c r="F747" t="s">
        <v>426</v>
      </c>
      <c r="G747" t="s">
        <v>19</v>
      </c>
      <c r="H747" s="6">
        <v>45203</v>
      </c>
      <c r="I747" s="6">
        <v>45214</v>
      </c>
      <c r="J747" s="4">
        <v>4166.6899999999996</v>
      </c>
      <c r="K747">
        <f t="shared" si="34"/>
        <v>11</v>
      </c>
      <c r="L747">
        <f t="shared" si="33"/>
        <v>69</v>
      </c>
      <c r="M747" t="str">
        <f t="shared" si="35"/>
        <v>Older Adults</v>
      </c>
    </row>
    <row r="748" spans="1:13" x14ac:dyDescent="0.25">
      <c r="A748" t="s">
        <v>1648</v>
      </c>
      <c r="B748" t="s">
        <v>1649</v>
      </c>
      <c r="C748" s="6">
        <v>30175</v>
      </c>
      <c r="D748" t="s">
        <v>27</v>
      </c>
      <c r="E748" t="s">
        <v>84</v>
      </c>
      <c r="F748" t="s">
        <v>85</v>
      </c>
      <c r="G748" t="s">
        <v>238</v>
      </c>
      <c r="H748" s="6">
        <v>45204</v>
      </c>
      <c r="I748" s="6">
        <v>45218</v>
      </c>
      <c r="J748" s="4">
        <v>2801.59</v>
      </c>
      <c r="K748">
        <f t="shared" si="34"/>
        <v>14</v>
      </c>
      <c r="L748">
        <f t="shared" si="33"/>
        <v>41</v>
      </c>
      <c r="M748" t="str">
        <f t="shared" si="35"/>
        <v>Adults</v>
      </c>
    </row>
    <row r="749" spans="1:13" x14ac:dyDescent="0.25">
      <c r="A749" t="s">
        <v>1650</v>
      </c>
      <c r="B749" t="s">
        <v>1651</v>
      </c>
      <c r="C749" s="6">
        <v>20248</v>
      </c>
      <c r="D749" t="s">
        <v>27</v>
      </c>
      <c r="E749" t="s">
        <v>65</v>
      </c>
      <c r="F749" t="s">
        <v>518</v>
      </c>
      <c r="G749" t="s">
        <v>346</v>
      </c>
      <c r="H749" s="6">
        <v>45205</v>
      </c>
      <c r="I749" s="6">
        <v>45211</v>
      </c>
      <c r="J749" s="4">
        <v>386.02</v>
      </c>
      <c r="K749">
        <f t="shared" si="34"/>
        <v>6</v>
      </c>
      <c r="L749">
        <f t="shared" si="33"/>
        <v>68</v>
      </c>
      <c r="M749" t="str">
        <f t="shared" si="35"/>
        <v>Older Adults</v>
      </c>
    </row>
    <row r="750" spans="1:13" x14ac:dyDescent="0.25">
      <c r="A750" t="s">
        <v>1652</v>
      </c>
      <c r="B750" t="s">
        <v>1653</v>
      </c>
      <c r="C750" s="6">
        <v>19647</v>
      </c>
      <c r="D750" t="s">
        <v>27</v>
      </c>
      <c r="E750" t="s">
        <v>72</v>
      </c>
      <c r="F750" t="s">
        <v>73</v>
      </c>
      <c r="G750" t="s">
        <v>331</v>
      </c>
      <c r="H750" s="6">
        <v>45205</v>
      </c>
      <c r="I750" s="6">
        <v>45234</v>
      </c>
      <c r="J750" s="4">
        <v>7528.74</v>
      </c>
      <c r="K750">
        <f t="shared" si="34"/>
        <v>29</v>
      </c>
      <c r="L750">
        <f t="shared" si="33"/>
        <v>69</v>
      </c>
      <c r="M750" t="str">
        <f t="shared" si="35"/>
        <v>Older Adults</v>
      </c>
    </row>
    <row r="751" spans="1:13" x14ac:dyDescent="0.25">
      <c r="A751" t="s">
        <v>1654</v>
      </c>
      <c r="B751" t="s">
        <v>1655</v>
      </c>
      <c r="C751" s="6">
        <v>26273</v>
      </c>
      <c r="D751" t="s">
        <v>11</v>
      </c>
      <c r="E751" t="s">
        <v>72</v>
      </c>
      <c r="F751" t="s">
        <v>73</v>
      </c>
      <c r="G751" t="s">
        <v>74</v>
      </c>
      <c r="H751" s="6">
        <v>45206</v>
      </c>
      <c r="I751" s="6">
        <v>45232</v>
      </c>
      <c r="J751" s="4">
        <v>7755.66</v>
      </c>
      <c r="K751">
        <f t="shared" si="34"/>
        <v>26</v>
      </c>
      <c r="L751">
        <f t="shared" si="33"/>
        <v>51</v>
      </c>
      <c r="M751" t="str">
        <f t="shared" si="35"/>
        <v>Adults</v>
      </c>
    </row>
    <row r="752" spans="1:13" x14ac:dyDescent="0.25">
      <c r="A752" t="s">
        <v>1656</v>
      </c>
      <c r="B752" t="s">
        <v>1657</v>
      </c>
      <c r="C752" s="6">
        <v>19982</v>
      </c>
      <c r="D752" t="s">
        <v>11</v>
      </c>
      <c r="E752" t="s">
        <v>142</v>
      </c>
      <c r="F752" t="s">
        <v>114</v>
      </c>
      <c r="G752" t="s">
        <v>285</v>
      </c>
      <c r="H752" s="6">
        <v>45206</v>
      </c>
      <c r="I752" s="6">
        <v>45213</v>
      </c>
      <c r="J752" s="4">
        <v>2149.85</v>
      </c>
      <c r="K752">
        <f t="shared" si="34"/>
        <v>7</v>
      </c>
      <c r="L752">
        <f t="shared" si="33"/>
        <v>69</v>
      </c>
      <c r="M752" t="str">
        <f t="shared" si="35"/>
        <v>Older Adults</v>
      </c>
    </row>
    <row r="753" spans="1:13" x14ac:dyDescent="0.25">
      <c r="A753" t="s">
        <v>1658</v>
      </c>
      <c r="B753" t="s">
        <v>1659</v>
      </c>
      <c r="C753" s="6">
        <v>15177</v>
      </c>
      <c r="D753" t="s">
        <v>27</v>
      </c>
      <c r="E753" t="s">
        <v>142</v>
      </c>
      <c r="F753" t="s">
        <v>110</v>
      </c>
      <c r="G753" t="s">
        <v>143</v>
      </c>
      <c r="H753" s="6">
        <v>45208</v>
      </c>
      <c r="I753" s="6">
        <v>45237</v>
      </c>
      <c r="J753" s="4">
        <v>1885.12</v>
      </c>
      <c r="K753">
        <f t="shared" si="34"/>
        <v>29</v>
      </c>
      <c r="L753">
        <f t="shared" si="33"/>
        <v>82</v>
      </c>
      <c r="M753" t="str">
        <f t="shared" si="35"/>
        <v>Older Adults</v>
      </c>
    </row>
    <row r="754" spans="1:13" x14ac:dyDescent="0.25">
      <c r="A754" t="s">
        <v>1660</v>
      </c>
      <c r="B754" t="s">
        <v>1661</v>
      </c>
      <c r="C754" s="6">
        <v>26574</v>
      </c>
      <c r="D754" t="s">
        <v>27</v>
      </c>
      <c r="E754" t="s">
        <v>22</v>
      </c>
      <c r="F754" t="s">
        <v>110</v>
      </c>
      <c r="G754" t="s">
        <v>111</v>
      </c>
      <c r="H754" s="6">
        <v>45211</v>
      </c>
      <c r="I754" s="6">
        <v>45216</v>
      </c>
      <c r="J754" s="4">
        <v>1188.72</v>
      </c>
      <c r="K754">
        <f t="shared" si="34"/>
        <v>5</v>
      </c>
      <c r="L754">
        <f t="shared" si="33"/>
        <v>51</v>
      </c>
      <c r="M754" t="str">
        <f t="shared" si="35"/>
        <v>Adults</v>
      </c>
    </row>
    <row r="755" spans="1:13" x14ac:dyDescent="0.25">
      <c r="A755" t="s">
        <v>1662</v>
      </c>
      <c r="B755" t="s">
        <v>1663</v>
      </c>
      <c r="C755" s="6">
        <v>26930</v>
      </c>
      <c r="D755" t="s">
        <v>11</v>
      </c>
      <c r="E755" t="s">
        <v>33</v>
      </c>
      <c r="F755" t="s">
        <v>34</v>
      </c>
      <c r="G755" t="s">
        <v>378</v>
      </c>
      <c r="H755" s="6">
        <v>45211</v>
      </c>
      <c r="I755" s="6">
        <v>45228</v>
      </c>
      <c r="J755" s="4">
        <v>4097.92</v>
      </c>
      <c r="K755">
        <f t="shared" si="34"/>
        <v>17</v>
      </c>
      <c r="L755">
        <f t="shared" si="33"/>
        <v>50</v>
      </c>
      <c r="M755" t="str">
        <f t="shared" si="35"/>
        <v>Adults</v>
      </c>
    </row>
    <row r="756" spans="1:13" x14ac:dyDescent="0.25">
      <c r="A756" s="1" t="s">
        <v>1664</v>
      </c>
      <c r="B756" t="s">
        <v>1665</v>
      </c>
      <c r="C756" s="6">
        <v>27485</v>
      </c>
      <c r="D756" t="s">
        <v>27</v>
      </c>
      <c r="E756" t="s">
        <v>92</v>
      </c>
      <c r="F756" t="s">
        <v>13</v>
      </c>
      <c r="G756" t="s">
        <v>296</v>
      </c>
      <c r="H756" s="6">
        <v>45212</v>
      </c>
      <c r="I756" s="6">
        <v>45239</v>
      </c>
      <c r="J756" s="4">
        <v>2375.66</v>
      </c>
      <c r="K756">
        <f t="shared" si="34"/>
        <v>27</v>
      </c>
      <c r="L756">
        <f t="shared" si="33"/>
        <v>48</v>
      </c>
      <c r="M756" t="str">
        <f t="shared" si="35"/>
        <v>Adults</v>
      </c>
    </row>
    <row r="757" spans="1:13" x14ac:dyDescent="0.25">
      <c r="A757" t="s">
        <v>1666</v>
      </c>
      <c r="B757" t="s">
        <v>1667</v>
      </c>
      <c r="C757" s="6">
        <v>29683</v>
      </c>
      <c r="D757" t="s">
        <v>27</v>
      </c>
      <c r="E757" t="s">
        <v>65</v>
      </c>
      <c r="F757" t="s">
        <v>114</v>
      </c>
      <c r="G757" t="s">
        <v>346</v>
      </c>
      <c r="H757" s="6">
        <v>45213</v>
      </c>
      <c r="I757" s="6">
        <v>45214</v>
      </c>
      <c r="J757" s="4">
        <v>119.4</v>
      </c>
      <c r="K757">
        <f t="shared" si="34"/>
        <v>1</v>
      </c>
      <c r="L757">
        <f t="shared" si="33"/>
        <v>42</v>
      </c>
      <c r="M757" t="str">
        <f t="shared" si="35"/>
        <v>Adults</v>
      </c>
    </row>
    <row r="758" spans="1:13" x14ac:dyDescent="0.25">
      <c r="A758" t="s">
        <v>1668</v>
      </c>
      <c r="B758" t="s">
        <v>1669</v>
      </c>
      <c r="C758" s="6">
        <v>41133</v>
      </c>
      <c r="D758" t="s">
        <v>27</v>
      </c>
      <c r="E758" t="s">
        <v>60</v>
      </c>
      <c r="F758" t="s">
        <v>188</v>
      </c>
      <c r="G758" t="s">
        <v>149</v>
      </c>
      <c r="H758" s="6">
        <v>45214</v>
      </c>
      <c r="I758" s="6">
        <v>45240</v>
      </c>
      <c r="J758" s="4">
        <v>36435.730000000003</v>
      </c>
      <c r="K758">
        <f t="shared" si="34"/>
        <v>26</v>
      </c>
      <c r="L758">
        <f t="shared" si="33"/>
        <v>11</v>
      </c>
      <c r="M758" t="str">
        <f t="shared" si="35"/>
        <v>Children and Adolescent</v>
      </c>
    </row>
    <row r="759" spans="1:13" x14ac:dyDescent="0.25">
      <c r="A759" t="s">
        <v>1670</v>
      </c>
      <c r="B759" t="s">
        <v>1671</v>
      </c>
      <c r="C759" s="6">
        <v>34689</v>
      </c>
      <c r="D759" t="s">
        <v>27</v>
      </c>
      <c r="E759" t="s">
        <v>281</v>
      </c>
      <c r="F759" t="s">
        <v>13</v>
      </c>
      <c r="G759" t="s">
        <v>437</v>
      </c>
      <c r="H759" s="6">
        <v>45214</v>
      </c>
      <c r="I759" s="6">
        <v>45218</v>
      </c>
      <c r="J759" s="4">
        <v>21636.35</v>
      </c>
      <c r="K759">
        <f t="shared" si="34"/>
        <v>4</v>
      </c>
      <c r="L759">
        <f t="shared" si="33"/>
        <v>28</v>
      </c>
      <c r="M759" t="str">
        <f t="shared" si="35"/>
        <v>Adults</v>
      </c>
    </row>
    <row r="760" spans="1:13" x14ac:dyDescent="0.25">
      <c r="A760" t="s">
        <v>1672</v>
      </c>
      <c r="B760" t="s">
        <v>1673</v>
      </c>
      <c r="C760" s="6">
        <v>22799</v>
      </c>
      <c r="D760" t="s">
        <v>11</v>
      </c>
      <c r="E760" t="s">
        <v>362</v>
      </c>
      <c r="F760" t="s">
        <v>172</v>
      </c>
      <c r="G760" t="s">
        <v>603</v>
      </c>
      <c r="H760" s="6">
        <v>45215</v>
      </c>
      <c r="I760" s="6">
        <v>45231</v>
      </c>
      <c r="J760" s="4">
        <v>11629.59</v>
      </c>
      <c r="K760">
        <f t="shared" si="34"/>
        <v>16</v>
      </c>
      <c r="L760">
        <f t="shared" si="33"/>
        <v>61</v>
      </c>
      <c r="M760" t="str">
        <f t="shared" si="35"/>
        <v>Older Adults</v>
      </c>
    </row>
    <row r="761" spans="1:13" x14ac:dyDescent="0.25">
      <c r="A761" t="s">
        <v>1674</v>
      </c>
      <c r="B761" t="s">
        <v>1675</v>
      </c>
      <c r="C761" s="6">
        <v>34473</v>
      </c>
      <c r="D761" t="s">
        <v>11</v>
      </c>
      <c r="E761" t="s">
        <v>302</v>
      </c>
      <c r="F761" t="s">
        <v>29</v>
      </c>
      <c r="G761" t="s">
        <v>303</v>
      </c>
      <c r="H761" s="6">
        <v>45219</v>
      </c>
      <c r="I761" s="6">
        <v>45240</v>
      </c>
      <c r="J761" s="4">
        <v>11445.28</v>
      </c>
      <c r="K761">
        <f t="shared" si="34"/>
        <v>21</v>
      </c>
      <c r="L761">
        <f t="shared" si="33"/>
        <v>29</v>
      </c>
      <c r="M761" t="str">
        <f t="shared" si="35"/>
        <v>Adults</v>
      </c>
    </row>
    <row r="762" spans="1:13" x14ac:dyDescent="0.25">
      <c r="A762" t="s">
        <v>1676</v>
      </c>
      <c r="B762" t="s">
        <v>1677</v>
      </c>
      <c r="C762" s="6">
        <v>16432</v>
      </c>
      <c r="D762" t="s">
        <v>27</v>
      </c>
      <c r="E762" t="s">
        <v>84</v>
      </c>
      <c r="F762" t="s">
        <v>85</v>
      </c>
      <c r="G762" t="s">
        <v>19</v>
      </c>
      <c r="H762" s="6">
        <v>45220</v>
      </c>
      <c r="I762" s="6">
        <v>45233</v>
      </c>
      <c r="J762" s="4">
        <v>2352.77</v>
      </c>
      <c r="K762">
        <f t="shared" si="34"/>
        <v>13</v>
      </c>
      <c r="L762">
        <f t="shared" si="33"/>
        <v>78</v>
      </c>
      <c r="M762" t="str">
        <f t="shared" si="35"/>
        <v>Older Adults</v>
      </c>
    </row>
    <row r="763" spans="1:13" x14ac:dyDescent="0.25">
      <c r="A763" t="s">
        <v>1678</v>
      </c>
      <c r="B763" t="s">
        <v>1679</v>
      </c>
      <c r="C763" s="6">
        <v>13422</v>
      </c>
      <c r="D763" t="s">
        <v>27</v>
      </c>
      <c r="E763" t="s">
        <v>55</v>
      </c>
      <c r="F763" t="s">
        <v>56</v>
      </c>
      <c r="G763" t="s">
        <v>218</v>
      </c>
      <c r="H763" s="6">
        <v>45224</v>
      </c>
      <c r="I763" s="6">
        <v>45246</v>
      </c>
      <c r="J763" s="4">
        <v>1115.04</v>
      </c>
      <c r="K763">
        <f t="shared" si="34"/>
        <v>22</v>
      </c>
      <c r="L763">
        <f t="shared" si="33"/>
        <v>87</v>
      </c>
      <c r="M763" t="str">
        <f t="shared" si="35"/>
        <v>Older Adults</v>
      </c>
    </row>
    <row r="764" spans="1:13" x14ac:dyDescent="0.25">
      <c r="A764" t="s">
        <v>1680</v>
      </c>
      <c r="B764" t="s">
        <v>1681</v>
      </c>
      <c r="C764" s="6">
        <v>38495</v>
      </c>
      <c r="D764" t="s">
        <v>27</v>
      </c>
      <c r="E764" t="s">
        <v>72</v>
      </c>
      <c r="F764" t="s">
        <v>73</v>
      </c>
      <c r="G764" t="s">
        <v>278</v>
      </c>
      <c r="H764" s="6">
        <v>45225</v>
      </c>
      <c r="I764" s="6">
        <v>45237</v>
      </c>
      <c r="J764" s="4">
        <v>6729.24</v>
      </c>
      <c r="K764">
        <f t="shared" si="34"/>
        <v>12</v>
      </c>
      <c r="L764">
        <f t="shared" si="33"/>
        <v>18</v>
      </c>
      <c r="M764" t="str">
        <f t="shared" si="35"/>
        <v>Young Adults</v>
      </c>
    </row>
    <row r="765" spans="1:13" x14ac:dyDescent="0.25">
      <c r="A765" t="s">
        <v>1682</v>
      </c>
      <c r="B765" t="s">
        <v>1683</v>
      </c>
      <c r="C765" s="6">
        <v>25433</v>
      </c>
      <c r="D765" t="s">
        <v>11</v>
      </c>
      <c r="E765" t="s">
        <v>120</v>
      </c>
      <c r="F765" t="s">
        <v>114</v>
      </c>
      <c r="G765" t="s">
        <v>306</v>
      </c>
      <c r="H765" s="6">
        <v>45227</v>
      </c>
      <c r="I765" s="6">
        <v>45254</v>
      </c>
      <c r="J765" s="4">
        <v>747.1</v>
      </c>
      <c r="K765">
        <f t="shared" si="34"/>
        <v>27</v>
      </c>
      <c r="L765">
        <f t="shared" si="33"/>
        <v>54</v>
      </c>
      <c r="M765" t="str">
        <f t="shared" si="35"/>
        <v>Adults</v>
      </c>
    </row>
    <row r="766" spans="1:13" x14ac:dyDescent="0.25">
      <c r="A766" t="s">
        <v>1684</v>
      </c>
      <c r="B766" t="s">
        <v>1685</v>
      </c>
      <c r="C766" s="6">
        <v>36581</v>
      </c>
      <c r="D766" t="s">
        <v>27</v>
      </c>
      <c r="E766" t="s">
        <v>271</v>
      </c>
      <c r="F766" t="s">
        <v>299</v>
      </c>
      <c r="G766" t="s">
        <v>273</v>
      </c>
      <c r="H766" s="6">
        <v>45228</v>
      </c>
      <c r="I766" s="6">
        <v>45240</v>
      </c>
      <c r="J766" s="4">
        <v>520.25</v>
      </c>
      <c r="K766">
        <f t="shared" si="34"/>
        <v>12</v>
      </c>
      <c r="L766">
        <f t="shared" si="33"/>
        <v>23</v>
      </c>
      <c r="M766" t="str">
        <f t="shared" si="35"/>
        <v>Young Adults</v>
      </c>
    </row>
    <row r="767" spans="1:13" x14ac:dyDescent="0.25">
      <c r="A767" t="s">
        <v>1686</v>
      </c>
      <c r="B767" t="s">
        <v>1687</v>
      </c>
      <c r="C767" s="6">
        <v>31469</v>
      </c>
      <c r="D767" t="s">
        <v>11</v>
      </c>
      <c r="E767" t="s">
        <v>84</v>
      </c>
      <c r="F767" t="s">
        <v>426</v>
      </c>
      <c r="G767" t="s">
        <v>254</v>
      </c>
      <c r="H767" s="6">
        <v>45228</v>
      </c>
      <c r="I767" s="6">
        <v>45256</v>
      </c>
      <c r="J767" s="4">
        <v>2666.35</v>
      </c>
      <c r="K767">
        <f t="shared" si="34"/>
        <v>28</v>
      </c>
      <c r="L767">
        <f t="shared" si="33"/>
        <v>37</v>
      </c>
      <c r="M767" t="str">
        <f t="shared" si="35"/>
        <v>Adults</v>
      </c>
    </row>
    <row r="768" spans="1:13" x14ac:dyDescent="0.25">
      <c r="A768" t="s">
        <v>1688</v>
      </c>
      <c r="B768" t="s">
        <v>1689</v>
      </c>
      <c r="C768" s="6">
        <v>23130</v>
      </c>
      <c r="D768" t="s">
        <v>27</v>
      </c>
      <c r="E768" t="s">
        <v>163</v>
      </c>
      <c r="F768" t="s">
        <v>13</v>
      </c>
      <c r="G768" t="s">
        <v>165</v>
      </c>
      <c r="H768" s="6">
        <v>45230</v>
      </c>
      <c r="I768" s="6">
        <v>45250</v>
      </c>
      <c r="J768" s="4">
        <v>14910.1</v>
      </c>
      <c r="K768">
        <f t="shared" si="34"/>
        <v>20</v>
      </c>
      <c r="L768">
        <f t="shared" si="33"/>
        <v>60</v>
      </c>
      <c r="M768" t="str">
        <f t="shared" si="35"/>
        <v>Older Adults</v>
      </c>
    </row>
    <row r="769" spans="1:13" x14ac:dyDescent="0.25">
      <c r="A769" t="s">
        <v>1690</v>
      </c>
      <c r="B769" t="s">
        <v>1691</v>
      </c>
      <c r="C769" s="6">
        <v>43280</v>
      </c>
      <c r="D769" t="s">
        <v>11</v>
      </c>
      <c r="E769" t="s">
        <v>120</v>
      </c>
      <c r="F769" t="s">
        <v>114</v>
      </c>
      <c r="G769" t="s">
        <v>121</v>
      </c>
      <c r="H769" s="6">
        <v>45233</v>
      </c>
      <c r="I769" s="6">
        <v>45251</v>
      </c>
      <c r="J769" s="4">
        <v>721.79</v>
      </c>
      <c r="K769">
        <f t="shared" si="34"/>
        <v>18</v>
      </c>
      <c r="L769">
        <f t="shared" si="33"/>
        <v>5</v>
      </c>
      <c r="M769" t="str">
        <f t="shared" si="35"/>
        <v>Children and Adolescent</v>
      </c>
    </row>
    <row r="770" spans="1:13" x14ac:dyDescent="0.25">
      <c r="A770" t="s">
        <v>1692</v>
      </c>
      <c r="B770" t="s">
        <v>1693</v>
      </c>
      <c r="C770" s="6">
        <v>20080</v>
      </c>
      <c r="D770" t="s">
        <v>11</v>
      </c>
      <c r="E770" t="s">
        <v>47</v>
      </c>
      <c r="F770" t="s">
        <v>29</v>
      </c>
      <c r="G770" t="s">
        <v>341</v>
      </c>
      <c r="H770" s="6">
        <v>45234</v>
      </c>
      <c r="I770" s="6">
        <v>45252</v>
      </c>
      <c r="J770" s="4">
        <v>4557.9799999999996</v>
      </c>
      <c r="K770">
        <f t="shared" si="34"/>
        <v>18</v>
      </c>
      <c r="L770">
        <f t="shared" ref="L770:L833" si="36">IF(C770&gt;H770,"Invalid DOB",DATEDIF(C770,H770,"Y"))</f>
        <v>68</v>
      </c>
      <c r="M770" t="str">
        <f t="shared" si="35"/>
        <v>Older Adults</v>
      </c>
    </row>
    <row r="771" spans="1:13" x14ac:dyDescent="0.25">
      <c r="A771" t="s">
        <v>1694</v>
      </c>
      <c r="B771" t="s">
        <v>1695</v>
      </c>
      <c r="C771" s="6">
        <v>35325</v>
      </c>
      <c r="D771" t="s">
        <v>11</v>
      </c>
      <c r="E771" t="s">
        <v>178</v>
      </c>
      <c r="F771" t="s">
        <v>182</v>
      </c>
      <c r="G771" t="s">
        <v>434</v>
      </c>
      <c r="H771" s="6">
        <v>45235</v>
      </c>
      <c r="I771" s="6">
        <v>45246</v>
      </c>
      <c r="J771" s="4">
        <v>939</v>
      </c>
      <c r="K771">
        <f t="shared" ref="K771:K834" si="37">I771-H771</f>
        <v>11</v>
      </c>
      <c r="L771">
        <f t="shared" si="36"/>
        <v>27</v>
      </c>
      <c r="M771" t="str">
        <f t="shared" ref="M771:M834" si="38">IF(L771="Invalid DOB","Invalid DOB",IF(L771&lt;=4,"Early childhood",IF(L771&lt;=17,"Children and Adolescent",IF(L771&lt;=24,"Young Adults",IF(L771&lt;=59,"Adults","Older Adults")))))</f>
        <v>Adults</v>
      </c>
    </row>
    <row r="772" spans="1:13" x14ac:dyDescent="0.25">
      <c r="A772" t="s">
        <v>1696</v>
      </c>
      <c r="B772" t="s">
        <v>1697</v>
      </c>
      <c r="C772" s="6">
        <v>19593</v>
      </c>
      <c r="D772" t="s">
        <v>11</v>
      </c>
      <c r="E772" t="s">
        <v>33</v>
      </c>
      <c r="F772" t="s">
        <v>34</v>
      </c>
      <c r="G772" t="s">
        <v>35</v>
      </c>
      <c r="H772" s="6">
        <v>45235</v>
      </c>
      <c r="I772" s="6">
        <v>45257</v>
      </c>
      <c r="J772" s="4">
        <v>3991.94</v>
      </c>
      <c r="K772">
        <f t="shared" si="37"/>
        <v>22</v>
      </c>
      <c r="L772">
        <f t="shared" si="36"/>
        <v>70</v>
      </c>
      <c r="M772" t="str">
        <f t="shared" si="38"/>
        <v>Older Adults</v>
      </c>
    </row>
    <row r="773" spans="1:13" x14ac:dyDescent="0.25">
      <c r="A773" t="s">
        <v>1698</v>
      </c>
      <c r="B773" t="s">
        <v>1699</v>
      </c>
      <c r="C773" s="6">
        <v>44994</v>
      </c>
      <c r="D773" t="s">
        <v>27</v>
      </c>
      <c r="E773" t="s">
        <v>97</v>
      </c>
      <c r="F773" t="s">
        <v>98</v>
      </c>
      <c r="G773" t="s">
        <v>99</v>
      </c>
      <c r="H773" s="6">
        <v>45235</v>
      </c>
      <c r="I773" s="6">
        <v>45243</v>
      </c>
      <c r="J773" s="4">
        <v>671.8</v>
      </c>
      <c r="K773">
        <f t="shared" si="37"/>
        <v>8</v>
      </c>
      <c r="L773">
        <f t="shared" si="36"/>
        <v>0</v>
      </c>
      <c r="M773" t="str">
        <f t="shared" si="38"/>
        <v>Early childhood</v>
      </c>
    </row>
    <row r="774" spans="1:13" x14ac:dyDescent="0.25">
      <c r="A774" t="s">
        <v>1700</v>
      </c>
      <c r="B774" t="s">
        <v>1701</v>
      </c>
      <c r="C774" s="6">
        <v>39001</v>
      </c>
      <c r="D774" t="s">
        <v>11</v>
      </c>
      <c r="E774" t="s">
        <v>138</v>
      </c>
      <c r="F774" t="s">
        <v>110</v>
      </c>
      <c r="G774" t="s">
        <v>146</v>
      </c>
      <c r="H774" s="6">
        <v>45235</v>
      </c>
      <c r="I774" s="6">
        <v>45263</v>
      </c>
      <c r="J774" s="4">
        <v>822.23</v>
      </c>
      <c r="K774">
        <f t="shared" si="37"/>
        <v>28</v>
      </c>
      <c r="L774">
        <f t="shared" si="36"/>
        <v>17</v>
      </c>
      <c r="M774" t="str">
        <f t="shared" si="38"/>
        <v>Children and Adolescent</v>
      </c>
    </row>
    <row r="775" spans="1:13" x14ac:dyDescent="0.25">
      <c r="A775" t="s">
        <v>1702</v>
      </c>
      <c r="B775" t="s">
        <v>1703</v>
      </c>
      <c r="C775" s="6">
        <v>27695</v>
      </c>
      <c r="D775" t="s">
        <v>11</v>
      </c>
      <c r="E775" t="s">
        <v>127</v>
      </c>
      <c r="F775" t="s">
        <v>114</v>
      </c>
      <c r="G775" t="s">
        <v>510</v>
      </c>
      <c r="H775" s="6">
        <v>45236</v>
      </c>
      <c r="I775" s="6">
        <v>45255</v>
      </c>
      <c r="J775" s="4">
        <v>1017.09</v>
      </c>
      <c r="K775">
        <f t="shared" si="37"/>
        <v>19</v>
      </c>
      <c r="L775">
        <f t="shared" si="36"/>
        <v>48</v>
      </c>
      <c r="M775" t="str">
        <f t="shared" si="38"/>
        <v>Adults</v>
      </c>
    </row>
    <row r="776" spans="1:13" x14ac:dyDescent="0.25">
      <c r="A776" t="s">
        <v>1704</v>
      </c>
      <c r="B776" t="s">
        <v>1705</v>
      </c>
      <c r="C776" s="6">
        <v>35458</v>
      </c>
      <c r="D776" t="s">
        <v>27</v>
      </c>
      <c r="E776" t="s">
        <v>97</v>
      </c>
      <c r="F776" t="s">
        <v>98</v>
      </c>
      <c r="G776" t="s">
        <v>221</v>
      </c>
      <c r="H776" s="6">
        <v>45237</v>
      </c>
      <c r="I776" s="6">
        <v>45245</v>
      </c>
      <c r="J776" s="4">
        <v>289.64</v>
      </c>
      <c r="K776">
        <f t="shared" si="37"/>
        <v>8</v>
      </c>
      <c r="L776">
        <f t="shared" si="36"/>
        <v>26</v>
      </c>
      <c r="M776" t="str">
        <f t="shared" si="38"/>
        <v>Adults</v>
      </c>
    </row>
    <row r="777" spans="1:13" x14ac:dyDescent="0.25">
      <c r="A777" t="s">
        <v>1706</v>
      </c>
      <c r="B777" t="s">
        <v>1707</v>
      </c>
      <c r="C777" s="6">
        <v>41722</v>
      </c>
      <c r="D777" t="s">
        <v>11</v>
      </c>
      <c r="E777" t="s">
        <v>80</v>
      </c>
      <c r="F777" t="s">
        <v>29</v>
      </c>
      <c r="G777" t="s">
        <v>444</v>
      </c>
      <c r="H777" s="6">
        <v>45237</v>
      </c>
      <c r="I777" s="6">
        <v>45251</v>
      </c>
      <c r="J777" s="4">
        <v>12563.63</v>
      </c>
      <c r="K777">
        <f t="shared" si="37"/>
        <v>14</v>
      </c>
      <c r="L777">
        <f t="shared" si="36"/>
        <v>9</v>
      </c>
      <c r="M777" t="str">
        <f t="shared" si="38"/>
        <v>Children and Adolescent</v>
      </c>
    </row>
    <row r="778" spans="1:13" x14ac:dyDescent="0.25">
      <c r="A778" t="s">
        <v>1708</v>
      </c>
      <c r="B778" t="s">
        <v>26</v>
      </c>
      <c r="C778" s="6">
        <v>31664</v>
      </c>
      <c r="D778" t="s">
        <v>27</v>
      </c>
      <c r="E778" t="s">
        <v>38</v>
      </c>
      <c r="F778" t="s">
        <v>39</v>
      </c>
      <c r="G778" t="s">
        <v>117</v>
      </c>
      <c r="H778" s="6">
        <v>45238</v>
      </c>
      <c r="I778" s="6">
        <v>45245</v>
      </c>
      <c r="J778" s="4">
        <v>4079.22</v>
      </c>
      <c r="K778">
        <f t="shared" si="37"/>
        <v>7</v>
      </c>
      <c r="L778">
        <f t="shared" si="36"/>
        <v>37</v>
      </c>
      <c r="M778" t="str">
        <f t="shared" si="38"/>
        <v>Adults</v>
      </c>
    </row>
    <row r="779" spans="1:13" x14ac:dyDescent="0.25">
      <c r="A779" t="s">
        <v>1709</v>
      </c>
      <c r="B779" t="s">
        <v>1710</v>
      </c>
      <c r="C779" s="6">
        <v>14340</v>
      </c>
      <c r="D779" t="s">
        <v>11</v>
      </c>
      <c r="E779" t="s">
        <v>142</v>
      </c>
      <c r="F779" t="s">
        <v>110</v>
      </c>
      <c r="G779" t="s">
        <v>394</v>
      </c>
      <c r="H779" s="6">
        <v>45239</v>
      </c>
      <c r="I779" s="6">
        <v>45265</v>
      </c>
      <c r="J779" s="4">
        <v>1207.8</v>
      </c>
      <c r="K779">
        <f t="shared" si="37"/>
        <v>26</v>
      </c>
      <c r="L779">
        <f t="shared" si="36"/>
        <v>84</v>
      </c>
      <c r="M779" t="str">
        <f t="shared" si="38"/>
        <v>Older Adults</v>
      </c>
    </row>
    <row r="780" spans="1:13" x14ac:dyDescent="0.25">
      <c r="A780" t="s">
        <v>1711</v>
      </c>
      <c r="B780" t="s">
        <v>1712</v>
      </c>
      <c r="C780" s="6">
        <v>25362</v>
      </c>
      <c r="D780" t="s">
        <v>27</v>
      </c>
      <c r="E780" t="s">
        <v>152</v>
      </c>
      <c r="F780" t="s">
        <v>56</v>
      </c>
      <c r="G780" t="s">
        <v>195</v>
      </c>
      <c r="H780" s="6">
        <v>45239</v>
      </c>
      <c r="I780" s="6">
        <v>45263</v>
      </c>
      <c r="J780" s="4">
        <v>10157.34</v>
      </c>
      <c r="K780">
        <f t="shared" si="37"/>
        <v>24</v>
      </c>
      <c r="L780">
        <f t="shared" si="36"/>
        <v>54</v>
      </c>
      <c r="M780" t="str">
        <f t="shared" si="38"/>
        <v>Adults</v>
      </c>
    </row>
    <row r="781" spans="1:13" x14ac:dyDescent="0.25">
      <c r="A781" t="s">
        <v>1713</v>
      </c>
      <c r="B781" t="s">
        <v>1714</v>
      </c>
      <c r="C781" s="6">
        <v>39506</v>
      </c>
      <c r="D781" t="s">
        <v>11</v>
      </c>
      <c r="E781" t="s">
        <v>271</v>
      </c>
      <c r="F781" t="s">
        <v>272</v>
      </c>
      <c r="G781" t="s">
        <v>273</v>
      </c>
      <c r="H781" s="6">
        <v>45242</v>
      </c>
      <c r="I781" s="6">
        <v>45249</v>
      </c>
      <c r="J781" s="4">
        <v>290.33</v>
      </c>
      <c r="K781">
        <f t="shared" si="37"/>
        <v>7</v>
      </c>
      <c r="L781">
        <f t="shared" si="36"/>
        <v>15</v>
      </c>
      <c r="M781" t="str">
        <f t="shared" si="38"/>
        <v>Children and Adolescent</v>
      </c>
    </row>
    <row r="782" spans="1:13" x14ac:dyDescent="0.25">
      <c r="A782" t="s">
        <v>1715</v>
      </c>
      <c r="B782" t="s">
        <v>1716</v>
      </c>
      <c r="C782" s="6">
        <v>36466</v>
      </c>
      <c r="D782" t="s">
        <v>27</v>
      </c>
      <c r="E782" t="s">
        <v>51</v>
      </c>
      <c r="F782" t="s">
        <v>29</v>
      </c>
      <c r="G782" t="s">
        <v>473</v>
      </c>
      <c r="H782" s="6">
        <v>45242</v>
      </c>
      <c r="I782" s="6">
        <v>45265</v>
      </c>
      <c r="J782" s="4">
        <v>5837.5</v>
      </c>
      <c r="K782">
        <f t="shared" si="37"/>
        <v>23</v>
      </c>
      <c r="L782">
        <f t="shared" si="36"/>
        <v>24</v>
      </c>
      <c r="M782" t="str">
        <f t="shared" si="38"/>
        <v>Young Adults</v>
      </c>
    </row>
    <row r="783" spans="1:13" x14ac:dyDescent="0.25">
      <c r="A783" t="s">
        <v>1717</v>
      </c>
      <c r="B783" t="s">
        <v>1718</v>
      </c>
      <c r="C783" s="6">
        <v>9311</v>
      </c>
      <c r="D783" t="s">
        <v>11</v>
      </c>
      <c r="E783" t="s">
        <v>84</v>
      </c>
      <c r="F783" t="s">
        <v>85</v>
      </c>
      <c r="G783" t="s">
        <v>238</v>
      </c>
      <c r="H783" s="6">
        <v>45246</v>
      </c>
      <c r="I783" s="6">
        <v>45271</v>
      </c>
      <c r="J783" s="4">
        <v>4483.2</v>
      </c>
      <c r="K783">
        <f t="shared" si="37"/>
        <v>25</v>
      </c>
      <c r="L783">
        <f t="shared" si="36"/>
        <v>98</v>
      </c>
      <c r="M783" t="str">
        <f t="shared" si="38"/>
        <v>Older Adults</v>
      </c>
    </row>
    <row r="784" spans="1:13" x14ac:dyDescent="0.25">
      <c r="A784" t="s">
        <v>1719</v>
      </c>
      <c r="B784" t="s">
        <v>1720</v>
      </c>
      <c r="C784" s="6">
        <v>33395</v>
      </c>
      <c r="D784" t="s">
        <v>27</v>
      </c>
      <c r="E784" t="s">
        <v>97</v>
      </c>
      <c r="F784" t="s">
        <v>540</v>
      </c>
      <c r="G784" t="s">
        <v>221</v>
      </c>
      <c r="H784" s="6">
        <v>45246</v>
      </c>
      <c r="I784" s="6">
        <v>45247</v>
      </c>
      <c r="J784" s="4">
        <v>262.12</v>
      </c>
      <c r="K784">
        <f t="shared" si="37"/>
        <v>1</v>
      </c>
      <c r="L784">
        <f t="shared" si="36"/>
        <v>32</v>
      </c>
      <c r="M784" t="str">
        <f t="shared" si="38"/>
        <v>Adults</v>
      </c>
    </row>
    <row r="785" spans="1:13" x14ac:dyDescent="0.25">
      <c r="A785" t="s">
        <v>1721</v>
      </c>
      <c r="B785" t="s">
        <v>1722</v>
      </c>
      <c r="C785" s="6">
        <v>11416</v>
      </c>
      <c r="D785" t="s">
        <v>11</v>
      </c>
      <c r="E785" t="s">
        <v>362</v>
      </c>
      <c r="F785" t="s">
        <v>799</v>
      </c>
      <c r="G785" t="s">
        <v>603</v>
      </c>
      <c r="H785" s="6">
        <v>45247</v>
      </c>
      <c r="I785" s="6">
        <v>45263</v>
      </c>
      <c r="J785" s="4">
        <v>7708.36</v>
      </c>
      <c r="K785">
        <f t="shared" si="37"/>
        <v>16</v>
      </c>
      <c r="L785">
        <f t="shared" si="36"/>
        <v>92</v>
      </c>
      <c r="M785" t="str">
        <f t="shared" si="38"/>
        <v>Older Adults</v>
      </c>
    </row>
    <row r="786" spans="1:13" x14ac:dyDescent="0.25">
      <c r="A786" t="s">
        <v>1723</v>
      </c>
      <c r="B786" t="s">
        <v>1724</v>
      </c>
      <c r="C786" s="6">
        <v>29469</v>
      </c>
      <c r="D786" t="s">
        <v>11</v>
      </c>
      <c r="E786" t="s">
        <v>55</v>
      </c>
      <c r="F786" t="s">
        <v>217</v>
      </c>
      <c r="G786" t="s">
        <v>228</v>
      </c>
      <c r="H786" s="6">
        <v>45248</v>
      </c>
      <c r="I786" s="6">
        <v>45260</v>
      </c>
      <c r="J786" s="4">
        <v>2552.8000000000002</v>
      </c>
      <c r="K786">
        <f t="shared" si="37"/>
        <v>12</v>
      </c>
      <c r="L786">
        <f t="shared" si="36"/>
        <v>43</v>
      </c>
      <c r="M786" t="str">
        <f t="shared" si="38"/>
        <v>Adults</v>
      </c>
    </row>
    <row r="787" spans="1:13" x14ac:dyDescent="0.25">
      <c r="A787" t="s">
        <v>1725</v>
      </c>
      <c r="B787" t="s">
        <v>322</v>
      </c>
      <c r="C787" s="6">
        <v>13318</v>
      </c>
      <c r="D787" t="s">
        <v>27</v>
      </c>
      <c r="E787" t="s">
        <v>142</v>
      </c>
      <c r="F787" t="s">
        <v>110</v>
      </c>
      <c r="G787" t="s">
        <v>394</v>
      </c>
      <c r="H787" s="6">
        <v>45249</v>
      </c>
      <c r="I787" s="6">
        <v>45252</v>
      </c>
      <c r="J787" s="4">
        <v>1294.3800000000001</v>
      </c>
      <c r="K787">
        <f t="shared" si="37"/>
        <v>3</v>
      </c>
      <c r="L787">
        <f t="shared" si="36"/>
        <v>87</v>
      </c>
      <c r="M787" t="str">
        <f t="shared" si="38"/>
        <v>Older Adults</v>
      </c>
    </row>
    <row r="788" spans="1:13" x14ac:dyDescent="0.25">
      <c r="A788" t="s">
        <v>1726</v>
      </c>
      <c r="B788" t="s">
        <v>1727</v>
      </c>
      <c r="C788" s="6">
        <v>31615</v>
      </c>
      <c r="D788" t="s">
        <v>11</v>
      </c>
      <c r="E788" t="s">
        <v>60</v>
      </c>
      <c r="F788" t="s">
        <v>88</v>
      </c>
      <c r="G788" t="s">
        <v>62</v>
      </c>
      <c r="H788" s="6">
        <v>45249</v>
      </c>
      <c r="I788" s="6">
        <v>45257</v>
      </c>
      <c r="J788" s="4">
        <v>55578.6</v>
      </c>
      <c r="K788">
        <f t="shared" si="37"/>
        <v>8</v>
      </c>
      <c r="L788">
        <f t="shared" si="36"/>
        <v>37</v>
      </c>
      <c r="M788" t="str">
        <f t="shared" si="38"/>
        <v>Adults</v>
      </c>
    </row>
    <row r="789" spans="1:13" x14ac:dyDescent="0.25">
      <c r="A789" t="s">
        <v>1728</v>
      </c>
      <c r="B789" t="s">
        <v>1729</v>
      </c>
      <c r="C789" s="6">
        <v>31675</v>
      </c>
      <c r="D789" t="s">
        <v>27</v>
      </c>
      <c r="E789" t="s">
        <v>84</v>
      </c>
      <c r="F789" t="s">
        <v>85</v>
      </c>
      <c r="G789" t="s">
        <v>238</v>
      </c>
      <c r="H789" s="6">
        <v>45250</v>
      </c>
      <c r="I789" s="6">
        <v>45269</v>
      </c>
      <c r="J789" s="4">
        <v>2838.86</v>
      </c>
      <c r="K789">
        <f t="shared" si="37"/>
        <v>19</v>
      </c>
      <c r="L789">
        <f t="shared" si="36"/>
        <v>37</v>
      </c>
      <c r="M789" t="str">
        <f t="shared" si="38"/>
        <v>Adults</v>
      </c>
    </row>
    <row r="790" spans="1:13" x14ac:dyDescent="0.25">
      <c r="A790" t="s">
        <v>1730</v>
      </c>
      <c r="B790" t="s">
        <v>1731</v>
      </c>
      <c r="C790" s="6">
        <v>13270</v>
      </c>
      <c r="D790" t="s">
        <v>11</v>
      </c>
      <c r="E790" t="s">
        <v>178</v>
      </c>
      <c r="F790" t="s">
        <v>179</v>
      </c>
      <c r="G790" t="s">
        <v>157</v>
      </c>
      <c r="H790" s="6">
        <v>45251</v>
      </c>
      <c r="I790" s="6">
        <v>45277</v>
      </c>
      <c r="J790" s="4">
        <v>2134.81</v>
      </c>
      <c r="K790">
        <f t="shared" si="37"/>
        <v>26</v>
      </c>
      <c r="L790">
        <f t="shared" si="36"/>
        <v>87</v>
      </c>
      <c r="M790" t="str">
        <f t="shared" si="38"/>
        <v>Older Adults</v>
      </c>
    </row>
    <row r="791" spans="1:13" x14ac:dyDescent="0.25">
      <c r="A791" t="s">
        <v>1732</v>
      </c>
      <c r="B791" t="s">
        <v>1733</v>
      </c>
      <c r="C791" s="6">
        <v>42486</v>
      </c>
      <c r="D791" t="s">
        <v>11</v>
      </c>
      <c r="E791" t="s">
        <v>187</v>
      </c>
      <c r="F791" t="s">
        <v>188</v>
      </c>
      <c r="G791" t="s">
        <v>189</v>
      </c>
      <c r="H791" s="6">
        <v>45251</v>
      </c>
      <c r="I791" s="6">
        <v>45259</v>
      </c>
      <c r="J791" s="4">
        <v>3911.74</v>
      </c>
      <c r="K791">
        <f t="shared" si="37"/>
        <v>8</v>
      </c>
      <c r="L791">
        <f t="shared" si="36"/>
        <v>7</v>
      </c>
      <c r="M791" t="str">
        <f t="shared" si="38"/>
        <v>Children and Adolescent</v>
      </c>
    </row>
    <row r="792" spans="1:13" x14ac:dyDescent="0.25">
      <c r="A792" t="s">
        <v>1734</v>
      </c>
      <c r="B792" t="s">
        <v>1735</v>
      </c>
      <c r="C792" s="6">
        <v>36390</v>
      </c>
      <c r="D792" t="s">
        <v>11</v>
      </c>
      <c r="E792" t="s">
        <v>17</v>
      </c>
      <c r="F792" t="s">
        <v>18</v>
      </c>
      <c r="G792" t="s">
        <v>318</v>
      </c>
      <c r="H792" s="6">
        <v>45252</v>
      </c>
      <c r="I792" s="6">
        <v>45257</v>
      </c>
      <c r="J792" s="4">
        <v>1442.24</v>
      </c>
      <c r="K792">
        <f t="shared" si="37"/>
        <v>5</v>
      </c>
      <c r="L792">
        <f t="shared" si="36"/>
        <v>24</v>
      </c>
      <c r="M792" t="str">
        <f t="shared" si="38"/>
        <v>Young Adults</v>
      </c>
    </row>
    <row r="793" spans="1:13" x14ac:dyDescent="0.25">
      <c r="A793" t="s">
        <v>1736</v>
      </c>
      <c r="B793" t="s">
        <v>1737</v>
      </c>
      <c r="C793" s="6">
        <v>36495</v>
      </c>
      <c r="D793" t="s">
        <v>11</v>
      </c>
      <c r="E793" t="s">
        <v>97</v>
      </c>
      <c r="F793" t="s">
        <v>540</v>
      </c>
      <c r="G793" t="s">
        <v>132</v>
      </c>
      <c r="H793" s="6">
        <v>45255</v>
      </c>
      <c r="I793" s="6">
        <v>45280</v>
      </c>
      <c r="J793" s="4">
        <v>711.19</v>
      </c>
      <c r="K793">
        <f t="shared" si="37"/>
        <v>25</v>
      </c>
      <c r="L793">
        <f t="shared" si="36"/>
        <v>23</v>
      </c>
      <c r="M793" t="str">
        <f t="shared" si="38"/>
        <v>Young Adults</v>
      </c>
    </row>
    <row r="794" spans="1:13" x14ac:dyDescent="0.25">
      <c r="A794" t="s">
        <v>1738</v>
      </c>
      <c r="B794" t="s">
        <v>1739</v>
      </c>
      <c r="C794" s="6">
        <v>15305</v>
      </c>
      <c r="D794" t="s">
        <v>27</v>
      </c>
      <c r="E794" t="s">
        <v>163</v>
      </c>
      <c r="F794" t="s">
        <v>13</v>
      </c>
      <c r="G794" t="s">
        <v>165</v>
      </c>
      <c r="H794" s="6">
        <v>45255</v>
      </c>
      <c r="I794" s="6">
        <v>45264</v>
      </c>
      <c r="J794" s="4">
        <v>13428.39</v>
      </c>
      <c r="K794">
        <f t="shared" si="37"/>
        <v>9</v>
      </c>
      <c r="L794">
        <f t="shared" si="36"/>
        <v>82</v>
      </c>
      <c r="M794" t="str">
        <f t="shared" si="38"/>
        <v>Older Adults</v>
      </c>
    </row>
    <row r="795" spans="1:13" x14ac:dyDescent="0.25">
      <c r="A795" t="s">
        <v>1740</v>
      </c>
      <c r="B795" t="s">
        <v>1741</v>
      </c>
      <c r="C795" s="6">
        <v>33112</v>
      </c>
      <c r="D795" t="s">
        <v>27</v>
      </c>
      <c r="E795" t="s">
        <v>178</v>
      </c>
      <c r="F795" t="s">
        <v>433</v>
      </c>
      <c r="G795" t="s">
        <v>434</v>
      </c>
      <c r="H795" s="6">
        <v>45255</v>
      </c>
      <c r="I795" s="6">
        <v>45283</v>
      </c>
      <c r="J795" s="4">
        <v>677.16</v>
      </c>
      <c r="K795">
        <f t="shared" si="37"/>
        <v>28</v>
      </c>
      <c r="L795">
        <f t="shared" si="36"/>
        <v>33</v>
      </c>
      <c r="M795" t="str">
        <f t="shared" si="38"/>
        <v>Adults</v>
      </c>
    </row>
    <row r="796" spans="1:13" x14ac:dyDescent="0.25">
      <c r="A796" t="s">
        <v>1742</v>
      </c>
      <c r="B796" t="s">
        <v>1743</v>
      </c>
      <c r="C796" s="6">
        <v>27019</v>
      </c>
      <c r="D796" t="s">
        <v>27</v>
      </c>
      <c r="E796" t="s">
        <v>127</v>
      </c>
      <c r="F796" t="s">
        <v>994</v>
      </c>
      <c r="G796" t="s">
        <v>24</v>
      </c>
      <c r="H796" s="6">
        <v>45256</v>
      </c>
      <c r="I796" s="6">
        <v>45262</v>
      </c>
      <c r="J796" s="4">
        <v>2516.6799999999998</v>
      </c>
      <c r="K796">
        <f t="shared" si="37"/>
        <v>6</v>
      </c>
      <c r="L796">
        <f t="shared" si="36"/>
        <v>49</v>
      </c>
      <c r="M796" t="str">
        <f t="shared" si="38"/>
        <v>Adults</v>
      </c>
    </row>
    <row r="797" spans="1:13" x14ac:dyDescent="0.25">
      <c r="A797" t="s">
        <v>1744</v>
      </c>
      <c r="B797" t="s">
        <v>1745</v>
      </c>
      <c r="C797" s="6">
        <v>22936</v>
      </c>
      <c r="D797" t="s">
        <v>27</v>
      </c>
      <c r="E797" t="s">
        <v>97</v>
      </c>
      <c r="F797" t="s">
        <v>98</v>
      </c>
      <c r="G797" t="s">
        <v>132</v>
      </c>
      <c r="H797" s="6">
        <v>45256</v>
      </c>
      <c r="I797" s="6">
        <v>45285</v>
      </c>
      <c r="J797" s="4">
        <v>251.47</v>
      </c>
      <c r="K797">
        <f t="shared" si="37"/>
        <v>29</v>
      </c>
      <c r="L797">
        <f t="shared" si="36"/>
        <v>61</v>
      </c>
      <c r="M797" t="str">
        <f t="shared" si="38"/>
        <v>Older Adults</v>
      </c>
    </row>
    <row r="798" spans="1:13" x14ac:dyDescent="0.25">
      <c r="A798" t="s">
        <v>1746</v>
      </c>
      <c r="B798" t="s">
        <v>1747</v>
      </c>
      <c r="C798" s="6">
        <v>43602</v>
      </c>
      <c r="D798" t="s">
        <v>11</v>
      </c>
      <c r="E798" t="s">
        <v>120</v>
      </c>
      <c r="F798" t="s">
        <v>103</v>
      </c>
      <c r="G798" t="s">
        <v>306</v>
      </c>
      <c r="H798" s="6">
        <v>45259</v>
      </c>
      <c r="I798" s="6">
        <v>45276</v>
      </c>
      <c r="J798" s="4">
        <v>1549.45</v>
      </c>
      <c r="K798">
        <f t="shared" si="37"/>
        <v>17</v>
      </c>
      <c r="L798">
        <f t="shared" si="36"/>
        <v>4</v>
      </c>
      <c r="M798" t="str">
        <f t="shared" si="38"/>
        <v>Early childhood</v>
      </c>
    </row>
    <row r="799" spans="1:13" x14ac:dyDescent="0.25">
      <c r="A799" t="s">
        <v>1748</v>
      </c>
      <c r="B799" t="s">
        <v>1749</v>
      </c>
      <c r="C799" s="6">
        <v>41348</v>
      </c>
      <c r="D799" t="s">
        <v>11</v>
      </c>
      <c r="E799" t="s">
        <v>33</v>
      </c>
      <c r="F799" t="s">
        <v>13</v>
      </c>
      <c r="G799" t="s">
        <v>378</v>
      </c>
      <c r="H799" s="6">
        <v>45260</v>
      </c>
      <c r="I799" s="6">
        <v>45277</v>
      </c>
      <c r="J799" s="4">
        <v>2694.09</v>
      </c>
      <c r="K799">
        <f t="shared" si="37"/>
        <v>17</v>
      </c>
      <c r="L799">
        <f t="shared" si="36"/>
        <v>10</v>
      </c>
      <c r="M799" t="str">
        <f t="shared" si="38"/>
        <v>Children and Adolescent</v>
      </c>
    </row>
    <row r="800" spans="1:13" x14ac:dyDescent="0.25">
      <c r="A800" t="s">
        <v>1750</v>
      </c>
      <c r="B800" t="s">
        <v>1751</v>
      </c>
      <c r="C800" s="6">
        <v>21903</v>
      </c>
      <c r="D800" t="s">
        <v>11</v>
      </c>
      <c r="E800" t="s">
        <v>60</v>
      </c>
      <c r="F800" t="s">
        <v>88</v>
      </c>
      <c r="G800" t="s">
        <v>149</v>
      </c>
      <c r="H800" s="6">
        <v>45261</v>
      </c>
      <c r="I800" s="6">
        <v>45263</v>
      </c>
      <c r="J800" s="4">
        <v>60642.52</v>
      </c>
      <c r="K800">
        <f t="shared" si="37"/>
        <v>2</v>
      </c>
      <c r="L800">
        <f t="shared" si="36"/>
        <v>63</v>
      </c>
      <c r="M800" t="str">
        <f t="shared" si="38"/>
        <v>Older Adults</v>
      </c>
    </row>
    <row r="801" spans="1:13" x14ac:dyDescent="0.25">
      <c r="A801" t="s">
        <v>1752</v>
      </c>
      <c r="B801" t="s">
        <v>1753</v>
      </c>
      <c r="C801" s="6">
        <v>30071</v>
      </c>
      <c r="D801" t="s">
        <v>11</v>
      </c>
      <c r="E801" t="s">
        <v>28</v>
      </c>
      <c r="F801" t="s">
        <v>29</v>
      </c>
      <c r="G801" t="s">
        <v>44</v>
      </c>
      <c r="H801" s="6">
        <v>45261</v>
      </c>
      <c r="I801" s="6">
        <v>45280</v>
      </c>
      <c r="J801" s="4">
        <v>11449.51</v>
      </c>
      <c r="K801">
        <f t="shared" si="37"/>
        <v>19</v>
      </c>
      <c r="L801">
        <f t="shared" si="36"/>
        <v>41</v>
      </c>
      <c r="M801" t="str">
        <f t="shared" si="38"/>
        <v>Adults</v>
      </c>
    </row>
    <row r="802" spans="1:13" x14ac:dyDescent="0.25">
      <c r="A802" t="s">
        <v>1754</v>
      </c>
      <c r="B802" t="s">
        <v>1755</v>
      </c>
      <c r="C802" s="6">
        <v>41477</v>
      </c>
      <c r="D802" t="s">
        <v>11</v>
      </c>
      <c r="E802" t="s">
        <v>80</v>
      </c>
      <c r="F802" t="s">
        <v>29</v>
      </c>
      <c r="G802" t="s">
        <v>81</v>
      </c>
      <c r="H802" s="6">
        <v>45261</v>
      </c>
      <c r="I802" s="6">
        <v>45265</v>
      </c>
      <c r="J802" s="4">
        <v>7549.56</v>
      </c>
      <c r="K802">
        <f t="shared" si="37"/>
        <v>4</v>
      </c>
      <c r="L802">
        <f t="shared" si="36"/>
        <v>10</v>
      </c>
      <c r="M802" t="str">
        <f t="shared" si="38"/>
        <v>Children and Adolescent</v>
      </c>
    </row>
    <row r="803" spans="1:13" x14ac:dyDescent="0.25">
      <c r="A803" t="s">
        <v>1756</v>
      </c>
      <c r="B803" t="s">
        <v>1757</v>
      </c>
      <c r="C803" s="6">
        <v>26854</v>
      </c>
      <c r="D803" t="s">
        <v>11</v>
      </c>
      <c r="E803" t="s">
        <v>302</v>
      </c>
      <c r="F803" t="s">
        <v>13</v>
      </c>
      <c r="G803" t="s">
        <v>303</v>
      </c>
      <c r="H803" s="6">
        <v>45262</v>
      </c>
      <c r="I803" s="6">
        <v>45274</v>
      </c>
      <c r="J803" s="4">
        <v>12651.69</v>
      </c>
      <c r="K803">
        <f t="shared" si="37"/>
        <v>12</v>
      </c>
      <c r="L803">
        <f t="shared" si="36"/>
        <v>50</v>
      </c>
      <c r="M803" t="str">
        <f t="shared" si="38"/>
        <v>Adults</v>
      </c>
    </row>
    <row r="804" spans="1:13" x14ac:dyDescent="0.25">
      <c r="A804" t="s">
        <v>1758</v>
      </c>
      <c r="B804" t="s">
        <v>1759</v>
      </c>
      <c r="C804" s="6">
        <v>31581</v>
      </c>
      <c r="D804" t="s">
        <v>11</v>
      </c>
      <c r="E804" t="s">
        <v>362</v>
      </c>
      <c r="F804" t="s">
        <v>799</v>
      </c>
      <c r="G804" t="s">
        <v>363</v>
      </c>
      <c r="H804" s="6">
        <v>45263</v>
      </c>
      <c r="I804" s="6">
        <v>45270</v>
      </c>
      <c r="J804" s="4">
        <v>5428.3</v>
      </c>
      <c r="K804">
        <f t="shared" si="37"/>
        <v>7</v>
      </c>
      <c r="L804">
        <f t="shared" si="36"/>
        <v>37</v>
      </c>
      <c r="M804" t="str">
        <f t="shared" si="38"/>
        <v>Adults</v>
      </c>
    </row>
    <row r="805" spans="1:13" x14ac:dyDescent="0.25">
      <c r="A805" t="s">
        <v>1760</v>
      </c>
      <c r="B805" t="s">
        <v>1761</v>
      </c>
      <c r="C805" s="6">
        <v>37576</v>
      </c>
      <c r="D805" t="s">
        <v>11</v>
      </c>
      <c r="E805" t="s">
        <v>60</v>
      </c>
      <c r="F805" t="s">
        <v>88</v>
      </c>
      <c r="G805" t="s">
        <v>149</v>
      </c>
      <c r="H805" s="6">
        <v>45264</v>
      </c>
      <c r="I805" s="6">
        <v>45294</v>
      </c>
      <c r="J805" s="4">
        <v>69668.87</v>
      </c>
      <c r="K805">
        <f t="shared" si="37"/>
        <v>30</v>
      </c>
      <c r="L805">
        <f t="shared" si="36"/>
        <v>21</v>
      </c>
      <c r="M805" t="str">
        <f t="shared" si="38"/>
        <v>Young Adults</v>
      </c>
    </row>
    <row r="806" spans="1:13" x14ac:dyDescent="0.25">
      <c r="A806" t="s">
        <v>1762</v>
      </c>
      <c r="B806" t="s">
        <v>1763</v>
      </c>
      <c r="C806" s="6">
        <v>9752</v>
      </c>
      <c r="D806" t="s">
        <v>27</v>
      </c>
      <c r="E806" t="s">
        <v>152</v>
      </c>
      <c r="F806" t="s">
        <v>56</v>
      </c>
      <c r="G806" t="s">
        <v>153</v>
      </c>
      <c r="H806" s="6">
        <v>45265</v>
      </c>
      <c r="I806" s="6">
        <v>45289</v>
      </c>
      <c r="J806" s="4">
        <v>19484.45</v>
      </c>
      <c r="K806">
        <f t="shared" si="37"/>
        <v>24</v>
      </c>
      <c r="L806">
        <f t="shared" si="36"/>
        <v>97</v>
      </c>
      <c r="M806" t="str">
        <f t="shared" si="38"/>
        <v>Older Adults</v>
      </c>
    </row>
    <row r="807" spans="1:13" x14ac:dyDescent="0.25">
      <c r="A807" t="s">
        <v>1764</v>
      </c>
      <c r="B807" t="s">
        <v>1765</v>
      </c>
      <c r="C807" s="6">
        <v>9962</v>
      </c>
      <c r="D807" t="s">
        <v>11</v>
      </c>
      <c r="E807" t="s">
        <v>138</v>
      </c>
      <c r="F807" t="s">
        <v>209</v>
      </c>
      <c r="G807" t="s">
        <v>143</v>
      </c>
      <c r="H807" s="6">
        <v>45265</v>
      </c>
      <c r="I807" s="6">
        <v>45287</v>
      </c>
      <c r="J807" s="4">
        <v>1965.37</v>
      </c>
      <c r="K807">
        <f t="shared" si="37"/>
        <v>22</v>
      </c>
      <c r="L807">
        <f t="shared" si="36"/>
        <v>96</v>
      </c>
      <c r="M807" t="str">
        <f t="shared" si="38"/>
        <v>Older Adults</v>
      </c>
    </row>
    <row r="808" spans="1:13" x14ac:dyDescent="0.25">
      <c r="A808" t="s">
        <v>1766</v>
      </c>
      <c r="B808" t="s">
        <v>1767</v>
      </c>
      <c r="C808" s="6">
        <v>13653</v>
      </c>
      <c r="D808" t="s">
        <v>27</v>
      </c>
      <c r="E808" t="s">
        <v>22</v>
      </c>
      <c r="F808" t="s">
        <v>23</v>
      </c>
      <c r="G808" t="s">
        <v>111</v>
      </c>
      <c r="H808" s="6">
        <v>45266</v>
      </c>
      <c r="I808" s="6">
        <v>45268</v>
      </c>
      <c r="J808" s="4">
        <v>2488.2199999999998</v>
      </c>
      <c r="K808">
        <f t="shared" si="37"/>
        <v>2</v>
      </c>
      <c r="L808">
        <f t="shared" si="36"/>
        <v>86</v>
      </c>
      <c r="M808" t="str">
        <f t="shared" si="38"/>
        <v>Older Adults</v>
      </c>
    </row>
    <row r="809" spans="1:13" x14ac:dyDescent="0.25">
      <c r="A809" t="s">
        <v>1768</v>
      </c>
      <c r="B809" t="s">
        <v>1769</v>
      </c>
      <c r="C809" s="6">
        <v>27774</v>
      </c>
      <c r="D809" t="s">
        <v>27</v>
      </c>
      <c r="E809" t="s">
        <v>138</v>
      </c>
      <c r="F809" t="s">
        <v>110</v>
      </c>
      <c r="G809" t="s">
        <v>139</v>
      </c>
      <c r="H809" s="6">
        <v>45266</v>
      </c>
      <c r="I809" s="6">
        <v>45269</v>
      </c>
      <c r="J809" s="4">
        <v>1160.05</v>
      </c>
      <c r="K809">
        <f t="shared" si="37"/>
        <v>3</v>
      </c>
      <c r="L809">
        <f t="shared" si="36"/>
        <v>47</v>
      </c>
      <c r="M809" t="str">
        <f t="shared" si="38"/>
        <v>Adults</v>
      </c>
    </row>
    <row r="810" spans="1:13" x14ac:dyDescent="0.25">
      <c r="A810" t="s">
        <v>1770</v>
      </c>
      <c r="B810" t="s">
        <v>1771</v>
      </c>
      <c r="C810" s="6">
        <v>40991</v>
      </c>
      <c r="D810" t="s">
        <v>27</v>
      </c>
      <c r="E810" t="s">
        <v>102</v>
      </c>
      <c r="F810" t="s">
        <v>528</v>
      </c>
      <c r="G810" t="s">
        <v>104</v>
      </c>
      <c r="H810" s="6">
        <v>45266</v>
      </c>
      <c r="I810" s="6">
        <v>45294</v>
      </c>
      <c r="J810" s="4">
        <v>23007.82</v>
      </c>
      <c r="K810">
        <f t="shared" si="37"/>
        <v>28</v>
      </c>
      <c r="L810">
        <f t="shared" si="36"/>
        <v>11</v>
      </c>
      <c r="M810" t="str">
        <f t="shared" si="38"/>
        <v>Children and Adolescent</v>
      </c>
    </row>
    <row r="811" spans="1:13" x14ac:dyDescent="0.25">
      <c r="A811" t="s">
        <v>1772</v>
      </c>
      <c r="B811" t="s">
        <v>1773</v>
      </c>
      <c r="C811" s="6">
        <v>12228</v>
      </c>
      <c r="D811" t="s">
        <v>11</v>
      </c>
      <c r="E811" t="s">
        <v>302</v>
      </c>
      <c r="F811" t="s">
        <v>13</v>
      </c>
      <c r="G811" t="s">
        <v>408</v>
      </c>
      <c r="H811" s="6">
        <v>45269</v>
      </c>
      <c r="I811" s="6">
        <v>45279</v>
      </c>
      <c r="J811" s="4">
        <v>15932.97</v>
      </c>
      <c r="K811">
        <f t="shared" si="37"/>
        <v>10</v>
      </c>
      <c r="L811">
        <f t="shared" si="36"/>
        <v>90</v>
      </c>
      <c r="M811" t="str">
        <f t="shared" si="38"/>
        <v>Older Adults</v>
      </c>
    </row>
    <row r="812" spans="1:13" x14ac:dyDescent="0.25">
      <c r="A812" t="s">
        <v>1774</v>
      </c>
      <c r="B812" t="s">
        <v>1775</v>
      </c>
      <c r="C812" s="6">
        <v>41067</v>
      </c>
      <c r="D812" t="s">
        <v>11</v>
      </c>
      <c r="E812" t="s">
        <v>17</v>
      </c>
      <c r="F812" t="s">
        <v>18</v>
      </c>
      <c r="G812" t="s">
        <v>318</v>
      </c>
      <c r="H812" s="6">
        <v>45269</v>
      </c>
      <c r="I812" s="6">
        <v>45295</v>
      </c>
      <c r="J812" s="4">
        <v>1626.8</v>
      </c>
      <c r="K812">
        <f t="shared" si="37"/>
        <v>26</v>
      </c>
      <c r="L812">
        <f t="shared" si="36"/>
        <v>11</v>
      </c>
      <c r="M812" t="str">
        <f t="shared" si="38"/>
        <v>Children and Adolescent</v>
      </c>
    </row>
    <row r="813" spans="1:13" x14ac:dyDescent="0.25">
      <c r="A813" t="s">
        <v>1776</v>
      </c>
      <c r="B813" t="s">
        <v>1777</v>
      </c>
      <c r="C813" s="6">
        <v>33988</v>
      </c>
      <c r="D813" t="s">
        <v>11</v>
      </c>
      <c r="E813" t="s">
        <v>163</v>
      </c>
      <c r="F813" t="s">
        <v>164</v>
      </c>
      <c r="G813" t="s">
        <v>233</v>
      </c>
      <c r="H813" s="6">
        <v>45269</v>
      </c>
      <c r="I813" s="6">
        <v>45299</v>
      </c>
      <c r="J813" s="4">
        <v>14012.47</v>
      </c>
      <c r="K813">
        <f t="shared" si="37"/>
        <v>30</v>
      </c>
      <c r="L813">
        <f t="shared" si="36"/>
        <v>30</v>
      </c>
      <c r="M813" t="str">
        <f t="shared" si="38"/>
        <v>Adults</v>
      </c>
    </row>
    <row r="814" spans="1:13" x14ac:dyDescent="0.25">
      <c r="A814" t="s">
        <v>1778</v>
      </c>
      <c r="B814" t="s">
        <v>1779</v>
      </c>
      <c r="C814" s="6">
        <v>23940</v>
      </c>
      <c r="D814" t="s">
        <v>27</v>
      </c>
      <c r="E814" t="s">
        <v>84</v>
      </c>
      <c r="F814" t="s">
        <v>85</v>
      </c>
      <c r="G814" t="s">
        <v>19</v>
      </c>
      <c r="H814" s="6">
        <v>45270</v>
      </c>
      <c r="I814" s="6">
        <v>45284</v>
      </c>
      <c r="J814" s="4">
        <v>4365.59</v>
      </c>
      <c r="K814">
        <f t="shared" si="37"/>
        <v>14</v>
      </c>
      <c r="L814">
        <f t="shared" si="36"/>
        <v>58</v>
      </c>
      <c r="M814" t="str">
        <f t="shared" si="38"/>
        <v>Adults</v>
      </c>
    </row>
    <row r="815" spans="1:13" x14ac:dyDescent="0.25">
      <c r="A815" t="s">
        <v>1780</v>
      </c>
      <c r="B815" t="s">
        <v>1781</v>
      </c>
      <c r="C815" s="6">
        <v>26193</v>
      </c>
      <c r="D815" t="s">
        <v>11</v>
      </c>
      <c r="E815" t="s">
        <v>84</v>
      </c>
      <c r="F815" t="s">
        <v>85</v>
      </c>
      <c r="G815" t="s">
        <v>254</v>
      </c>
      <c r="H815" s="6">
        <v>45270</v>
      </c>
      <c r="I815" s="6">
        <v>45273</v>
      </c>
      <c r="J815" s="4">
        <v>4674.1899999999996</v>
      </c>
      <c r="K815">
        <f t="shared" si="37"/>
        <v>3</v>
      </c>
      <c r="L815">
        <f t="shared" si="36"/>
        <v>52</v>
      </c>
      <c r="M815" t="str">
        <f t="shared" si="38"/>
        <v>Adults</v>
      </c>
    </row>
    <row r="816" spans="1:13" x14ac:dyDescent="0.25">
      <c r="A816" s="1" t="s">
        <v>1782</v>
      </c>
      <c r="B816" t="s">
        <v>1783</v>
      </c>
      <c r="C816" s="6">
        <v>30160</v>
      </c>
      <c r="D816" t="s">
        <v>27</v>
      </c>
      <c r="E816" t="s">
        <v>65</v>
      </c>
      <c r="F816" t="s">
        <v>114</v>
      </c>
      <c r="G816" t="s">
        <v>66</v>
      </c>
      <c r="H816" s="6">
        <v>45270</v>
      </c>
      <c r="I816" s="6">
        <v>45271</v>
      </c>
      <c r="J816" s="4">
        <v>385.33</v>
      </c>
      <c r="K816">
        <f t="shared" si="37"/>
        <v>1</v>
      </c>
      <c r="L816">
        <f t="shared" si="36"/>
        <v>41</v>
      </c>
      <c r="M816" t="str">
        <f t="shared" si="38"/>
        <v>Adults</v>
      </c>
    </row>
    <row r="817" spans="1:13" x14ac:dyDescent="0.25">
      <c r="A817" t="s">
        <v>1784</v>
      </c>
      <c r="B817" t="s">
        <v>1785</v>
      </c>
      <c r="C817" s="6">
        <v>12112</v>
      </c>
      <c r="D817" t="s">
        <v>11</v>
      </c>
      <c r="E817" t="s">
        <v>102</v>
      </c>
      <c r="F817" t="s">
        <v>172</v>
      </c>
      <c r="G817" t="s">
        <v>104</v>
      </c>
      <c r="H817" s="6">
        <v>45271</v>
      </c>
      <c r="I817" s="6">
        <v>45289</v>
      </c>
      <c r="J817" s="4">
        <v>20798.71</v>
      </c>
      <c r="K817">
        <f t="shared" si="37"/>
        <v>18</v>
      </c>
      <c r="L817">
        <f t="shared" si="36"/>
        <v>90</v>
      </c>
      <c r="M817" t="str">
        <f t="shared" si="38"/>
        <v>Older Adults</v>
      </c>
    </row>
    <row r="818" spans="1:13" x14ac:dyDescent="0.25">
      <c r="A818" t="s">
        <v>1786</v>
      </c>
      <c r="B818" t="s">
        <v>1787</v>
      </c>
      <c r="C818" s="6">
        <v>38101</v>
      </c>
      <c r="D818" t="s">
        <v>27</v>
      </c>
      <c r="E818" t="s">
        <v>84</v>
      </c>
      <c r="F818" t="s">
        <v>85</v>
      </c>
      <c r="G818" t="s">
        <v>238</v>
      </c>
      <c r="H818" s="6">
        <v>45271</v>
      </c>
      <c r="I818" s="6">
        <v>45290</v>
      </c>
      <c r="J818" s="4">
        <v>1442.51</v>
      </c>
      <c r="K818">
        <f t="shared" si="37"/>
        <v>19</v>
      </c>
      <c r="L818">
        <f t="shared" si="36"/>
        <v>19</v>
      </c>
      <c r="M818" t="str">
        <f t="shared" si="38"/>
        <v>Young Adults</v>
      </c>
    </row>
    <row r="819" spans="1:13" x14ac:dyDescent="0.25">
      <c r="A819" t="s">
        <v>1788</v>
      </c>
      <c r="B819" t="s">
        <v>1789</v>
      </c>
      <c r="C819" s="6">
        <v>40616</v>
      </c>
      <c r="D819" t="s">
        <v>27</v>
      </c>
      <c r="E819" t="s">
        <v>17</v>
      </c>
      <c r="F819" t="s">
        <v>18</v>
      </c>
      <c r="G819" t="s">
        <v>318</v>
      </c>
      <c r="H819" s="6">
        <v>45275</v>
      </c>
      <c r="I819" s="6">
        <v>45295</v>
      </c>
      <c r="J819" s="4">
        <v>2192.88</v>
      </c>
      <c r="K819">
        <f t="shared" si="37"/>
        <v>20</v>
      </c>
      <c r="L819">
        <f t="shared" si="36"/>
        <v>12</v>
      </c>
      <c r="M819" t="str">
        <f t="shared" si="38"/>
        <v>Children and Adolescent</v>
      </c>
    </row>
    <row r="820" spans="1:13" x14ac:dyDescent="0.25">
      <c r="A820" t="s">
        <v>1790</v>
      </c>
      <c r="B820" t="s">
        <v>1791</v>
      </c>
      <c r="C820" s="6">
        <v>31134</v>
      </c>
      <c r="D820" t="s">
        <v>11</v>
      </c>
      <c r="E820" t="s">
        <v>362</v>
      </c>
      <c r="F820" t="s">
        <v>172</v>
      </c>
      <c r="G820" t="s">
        <v>603</v>
      </c>
      <c r="H820" s="6">
        <v>45276</v>
      </c>
      <c r="I820" s="6">
        <v>45286</v>
      </c>
      <c r="J820" s="4">
        <v>12661.69</v>
      </c>
      <c r="K820">
        <f t="shared" si="37"/>
        <v>10</v>
      </c>
      <c r="L820">
        <f t="shared" si="36"/>
        <v>38</v>
      </c>
      <c r="M820" t="str">
        <f t="shared" si="38"/>
        <v>Adults</v>
      </c>
    </row>
    <row r="821" spans="1:13" x14ac:dyDescent="0.25">
      <c r="A821" t="s">
        <v>1792</v>
      </c>
      <c r="B821" t="s">
        <v>1793</v>
      </c>
      <c r="C821" s="6">
        <v>25101</v>
      </c>
      <c r="D821" t="s">
        <v>11</v>
      </c>
      <c r="E821" t="s">
        <v>120</v>
      </c>
      <c r="F821" t="s">
        <v>23</v>
      </c>
      <c r="G821" t="s">
        <v>121</v>
      </c>
      <c r="H821" s="6">
        <v>45277</v>
      </c>
      <c r="I821" s="6">
        <v>45278</v>
      </c>
      <c r="J821" s="4">
        <v>2581.7800000000002</v>
      </c>
      <c r="K821">
        <f t="shared" si="37"/>
        <v>1</v>
      </c>
      <c r="L821">
        <f t="shared" si="36"/>
        <v>55</v>
      </c>
      <c r="M821" t="str">
        <f t="shared" si="38"/>
        <v>Adults</v>
      </c>
    </row>
    <row r="822" spans="1:13" x14ac:dyDescent="0.25">
      <c r="A822" t="s">
        <v>1794</v>
      </c>
      <c r="B822" t="s">
        <v>1795</v>
      </c>
      <c r="C822" s="6">
        <v>26949</v>
      </c>
      <c r="D822" t="s">
        <v>27</v>
      </c>
      <c r="E822" t="s">
        <v>47</v>
      </c>
      <c r="F822" t="s">
        <v>188</v>
      </c>
      <c r="G822" t="s">
        <v>243</v>
      </c>
      <c r="H822" s="6">
        <v>45277</v>
      </c>
      <c r="I822" s="6">
        <v>45285</v>
      </c>
      <c r="J822" s="4">
        <v>6814.73</v>
      </c>
      <c r="K822">
        <f t="shared" si="37"/>
        <v>8</v>
      </c>
      <c r="L822">
        <f t="shared" si="36"/>
        <v>50</v>
      </c>
      <c r="M822" t="str">
        <f t="shared" si="38"/>
        <v>Adults</v>
      </c>
    </row>
    <row r="823" spans="1:13" x14ac:dyDescent="0.25">
      <c r="A823" t="s">
        <v>1796</v>
      </c>
      <c r="B823" t="s">
        <v>1797</v>
      </c>
      <c r="C823" s="6">
        <v>23249</v>
      </c>
      <c r="D823" t="s">
        <v>11</v>
      </c>
      <c r="E823" t="s">
        <v>80</v>
      </c>
      <c r="F823" t="s">
        <v>13</v>
      </c>
      <c r="G823" t="s">
        <v>81</v>
      </c>
      <c r="H823" s="6">
        <v>45279</v>
      </c>
      <c r="I823" s="6">
        <v>45296</v>
      </c>
      <c r="J823" s="4">
        <v>12911.13</v>
      </c>
      <c r="K823">
        <f t="shared" si="37"/>
        <v>17</v>
      </c>
      <c r="L823">
        <f t="shared" si="36"/>
        <v>60</v>
      </c>
      <c r="M823" t="str">
        <f t="shared" si="38"/>
        <v>Older Adults</v>
      </c>
    </row>
    <row r="824" spans="1:13" x14ac:dyDescent="0.25">
      <c r="A824" t="s">
        <v>1798</v>
      </c>
      <c r="B824" t="s">
        <v>1799</v>
      </c>
      <c r="C824" s="6">
        <v>22424</v>
      </c>
      <c r="D824" t="s">
        <v>27</v>
      </c>
      <c r="E824" t="s">
        <v>92</v>
      </c>
      <c r="F824" t="s">
        <v>93</v>
      </c>
      <c r="G824" t="s">
        <v>421</v>
      </c>
      <c r="H824" s="6">
        <v>45282</v>
      </c>
      <c r="I824" s="6">
        <v>45291</v>
      </c>
      <c r="J824" s="4">
        <v>553.15</v>
      </c>
      <c r="K824">
        <f t="shared" si="37"/>
        <v>9</v>
      </c>
      <c r="L824">
        <f t="shared" si="36"/>
        <v>62</v>
      </c>
      <c r="M824" t="str">
        <f t="shared" si="38"/>
        <v>Older Adults</v>
      </c>
    </row>
    <row r="825" spans="1:13" x14ac:dyDescent="0.25">
      <c r="A825" t="s">
        <v>1800</v>
      </c>
      <c r="B825" t="s">
        <v>1801</v>
      </c>
      <c r="C825" s="6">
        <v>31829</v>
      </c>
      <c r="D825" t="s">
        <v>27</v>
      </c>
      <c r="E825" t="s">
        <v>65</v>
      </c>
      <c r="F825" t="s">
        <v>114</v>
      </c>
      <c r="G825" t="s">
        <v>346</v>
      </c>
      <c r="H825" s="6">
        <v>45283</v>
      </c>
      <c r="I825" s="6">
        <v>45292</v>
      </c>
      <c r="J825" s="4">
        <v>327.33</v>
      </c>
      <c r="K825">
        <f t="shared" si="37"/>
        <v>9</v>
      </c>
      <c r="L825">
        <f t="shared" si="36"/>
        <v>36</v>
      </c>
      <c r="M825" t="str">
        <f t="shared" si="38"/>
        <v>Adults</v>
      </c>
    </row>
    <row r="826" spans="1:13" x14ac:dyDescent="0.25">
      <c r="A826" t="s">
        <v>1802</v>
      </c>
      <c r="B826" t="s">
        <v>1803</v>
      </c>
      <c r="C826" s="6">
        <v>31475</v>
      </c>
      <c r="D826" t="s">
        <v>27</v>
      </c>
      <c r="E826" t="s">
        <v>17</v>
      </c>
      <c r="F826" t="s">
        <v>34</v>
      </c>
      <c r="G826" t="s">
        <v>135</v>
      </c>
      <c r="H826" s="6">
        <v>45283</v>
      </c>
      <c r="I826" s="6">
        <v>45298</v>
      </c>
      <c r="J826" s="4">
        <v>603.32000000000005</v>
      </c>
      <c r="K826">
        <f t="shared" si="37"/>
        <v>15</v>
      </c>
      <c r="L826">
        <f t="shared" si="36"/>
        <v>37</v>
      </c>
      <c r="M826" t="str">
        <f t="shared" si="38"/>
        <v>Adults</v>
      </c>
    </row>
    <row r="827" spans="1:13" x14ac:dyDescent="0.25">
      <c r="A827" t="s">
        <v>1804</v>
      </c>
      <c r="B827" t="s">
        <v>1805</v>
      </c>
      <c r="C827" s="6">
        <v>34631</v>
      </c>
      <c r="D827" t="s">
        <v>11</v>
      </c>
      <c r="E827" t="s">
        <v>97</v>
      </c>
      <c r="F827" t="s">
        <v>540</v>
      </c>
      <c r="G827" t="s">
        <v>99</v>
      </c>
      <c r="H827" s="6">
        <v>45284</v>
      </c>
      <c r="I827" s="6">
        <v>45305</v>
      </c>
      <c r="J827" s="4">
        <v>512.49</v>
      </c>
      <c r="K827">
        <f t="shared" si="37"/>
        <v>21</v>
      </c>
      <c r="L827">
        <f t="shared" si="36"/>
        <v>29</v>
      </c>
      <c r="M827" t="str">
        <f t="shared" si="38"/>
        <v>Adults</v>
      </c>
    </row>
    <row r="828" spans="1:13" x14ac:dyDescent="0.25">
      <c r="A828" t="s">
        <v>1806</v>
      </c>
      <c r="B828" t="s">
        <v>1807</v>
      </c>
      <c r="C828" s="6">
        <v>35700</v>
      </c>
      <c r="D828" t="s">
        <v>27</v>
      </c>
      <c r="E828" t="s">
        <v>302</v>
      </c>
      <c r="F828" t="s">
        <v>29</v>
      </c>
      <c r="G828" t="s">
        <v>399</v>
      </c>
      <c r="H828" s="6">
        <v>45285</v>
      </c>
      <c r="I828" s="6">
        <v>45286</v>
      </c>
      <c r="J828" s="4">
        <v>12544.43</v>
      </c>
      <c r="K828">
        <f t="shared" si="37"/>
        <v>1</v>
      </c>
      <c r="L828">
        <f t="shared" si="36"/>
        <v>26</v>
      </c>
      <c r="M828" t="str">
        <f t="shared" si="38"/>
        <v>Adults</v>
      </c>
    </row>
    <row r="829" spans="1:13" x14ac:dyDescent="0.25">
      <c r="A829" t="s">
        <v>1808</v>
      </c>
      <c r="B829" t="s">
        <v>1809</v>
      </c>
      <c r="C829" s="6">
        <v>20297</v>
      </c>
      <c r="D829" t="s">
        <v>11</v>
      </c>
      <c r="E829" t="s">
        <v>84</v>
      </c>
      <c r="F829" t="s">
        <v>85</v>
      </c>
      <c r="G829" t="s">
        <v>19</v>
      </c>
      <c r="H829" s="6">
        <v>45286</v>
      </c>
      <c r="I829" s="6">
        <v>45305</v>
      </c>
      <c r="J829" s="4">
        <v>4759.12</v>
      </c>
      <c r="K829">
        <f t="shared" si="37"/>
        <v>19</v>
      </c>
      <c r="L829">
        <f t="shared" si="36"/>
        <v>68</v>
      </c>
      <c r="M829" t="str">
        <f t="shared" si="38"/>
        <v>Older Adults</v>
      </c>
    </row>
    <row r="830" spans="1:13" x14ac:dyDescent="0.25">
      <c r="A830" t="s">
        <v>1810</v>
      </c>
      <c r="B830" t="s">
        <v>1811</v>
      </c>
      <c r="C830" s="6">
        <v>30946</v>
      </c>
      <c r="D830" t="s">
        <v>11</v>
      </c>
      <c r="E830" t="s">
        <v>127</v>
      </c>
      <c r="F830" t="s">
        <v>994</v>
      </c>
      <c r="G830" t="s">
        <v>24</v>
      </c>
      <c r="H830" s="6">
        <v>45288</v>
      </c>
      <c r="I830" s="6">
        <v>45317</v>
      </c>
      <c r="J830" s="4">
        <v>2377.4299999999998</v>
      </c>
      <c r="K830">
        <f t="shared" si="37"/>
        <v>29</v>
      </c>
      <c r="L830">
        <f t="shared" si="36"/>
        <v>39</v>
      </c>
      <c r="M830" t="str">
        <f t="shared" si="38"/>
        <v>Adults</v>
      </c>
    </row>
    <row r="831" spans="1:13" x14ac:dyDescent="0.25">
      <c r="A831" t="s">
        <v>1812</v>
      </c>
      <c r="B831" t="s">
        <v>1813</v>
      </c>
      <c r="C831" s="6">
        <v>36880</v>
      </c>
      <c r="D831" t="s">
        <v>11</v>
      </c>
      <c r="E831" t="s">
        <v>12</v>
      </c>
      <c r="F831" t="s">
        <v>13</v>
      </c>
      <c r="G831" t="s">
        <v>14</v>
      </c>
      <c r="H831" s="6">
        <v>45289</v>
      </c>
      <c r="I831" s="6">
        <v>45318</v>
      </c>
      <c r="J831" s="4">
        <v>18771.400000000001</v>
      </c>
      <c r="K831">
        <f t="shared" si="37"/>
        <v>29</v>
      </c>
      <c r="L831">
        <f t="shared" si="36"/>
        <v>23</v>
      </c>
      <c r="M831" t="str">
        <f t="shared" si="38"/>
        <v>Young Adults</v>
      </c>
    </row>
    <row r="832" spans="1:13" x14ac:dyDescent="0.25">
      <c r="A832" t="s">
        <v>1814</v>
      </c>
      <c r="B832" t="s">
        <v>1815</v>
      </c>
      <c r="C832" s="6">
        <v>28637</v>
      </c>
      <c r="D832" t="s">
        <v>11</v>
      </c>
      <c r="E832" t="s">
        <v>51</v>
      </c>
      <c r="F832" t="s">
        <v>13</v>
      </c>
      <c r="G832" t="s">
        <v>52</v>
      </c>
      <c r="H832" s="6">
        <v>45290</v>
      </c>
      <c r="I832" s="6">
        <v>45305</v>
      </c>
      <c r="J832" s="4">
        <v>2861.71</v>
      </c>
      <c r="K832">
        <f t="shared" si="37"/>
        <v>15</v>
      </c>
      <c r="L832">
        <f t="shared" si="36"/>
        <v>45</v>
      </c>
      <c r="M832" t="str">
        <f t="shared" si="38"/>
        <v>Adults</v>
      </c>
    </row>
    <row r="833" spans="1:13" x14ac:dyDescent="0.25">
      <c r="A833" t="s">
        <v>1816</v>
      </c>
      <c r="B833" t="s">
        <v>1817</v>
      </c>
      <c r="C833" s="6">
        <v>31303</v>
      </c>
      <c r="D833" t="s">
        <v>27</v>
      </c>
      <c r="E833" t="s">
        <v>187</v>
      </c>
      <c r="F833" t="s">
        <v>13</v>
      </c>
      <c r="G833" t="s">
        <v>353</v>
      </c>
      <c r="H833" s="6">
        <v>45290</v>
      </c>
      <c r="I833" s="6">
        <v>45303</v>
      </c>
      <c r="J833" s="4">
        <v>3693.85</v>
      </c>
      <c r="K833">
        <f t="shared" si="37"/>
        <v>13</v>
      </c>
      <c r="L833">
        <f t="shared" si="36"/>
        <v>38</v>
      </c>
      <c r="M833" t="str">
        <f t="shared" si="38"/>
        <v>Adults</v>
      </c>
    </row>
    <row r="834" spans="1:13" x14ac:dyDescent="0.25">
      <c r="A834" t="s">
        <v>1818</v>
      </c>
      <c r="B834" t="s">
        <v>1819</v>
      </c>
      <c r="C834" s="6">
        <v>24940</v>
      </c>
      <c r="D834" t="s">
        <v>27</v>
      </c>
      <c r="E834" t="s">
        <v>47</v>
      </c>
      <c r="F834" t="s">
        <v>340</v>
      </c>
      <c r="G834" t="s">
        <v>243</v>
      </c>
      <c r="H834" s="6">
        <v>45290</v>
      </c>
      <c r="I834" s="6">
        <v>45319</v>
      </c>
      <c r="J834" s="4">
        <v>9319.48</v>
      </c>
      <c r="K834">
        <f t="shared" si="37"/>
        <v>29</v>
      </c>
      <c r="L834">
        <f t="shared" ref="L834:L897" si="39">IF(C834&gt;H834,"Invalid DOB",DATEDIF(C834,H834,"Y"))</f>
        <v>55</v>
      </c>
      <c r="M834" t="str">
        <f t="shared" si="38"/>
        <v>Adults</v>
      </c>
    </row>
    <row r="835" spans="1:13" x14ac:dyDescent="0.25">
      <c r="A835" t="s">
        <v>1820</v>
      </c>
      <c r="B835" t="s">
        <v>1821</v>
      </c>
      <c r="C835" s="6">
        <v>37265</v>
      </c>
      <c r="D835" t="s">
        <v>27</v>
      </c>
      <c r="E835" t="s">
        <v>362</v>
      </c>
      <c r="F835" t="s">
        <v>110</v>
      </c>
      <c r="G835" t="s">
        <v>603</v>
      </c>
      <c r="H835" s="6">
        <v>45293</v>
      </c>
      <c r="I835" s="6">
        <v>45297</v>
      </c>
      <c r="J835" s="4">
        <v>8873.02</v>
      </c>
      <c r="K835">
        <f t="shared" ref="K835:K898" si="40">I835-H835</f>
        <v>4</v>
      </c>
      <c r="L835">
        <f t="shared" si="39"/>
        <v>21</v>
      </c>
      <c r="M835" t="str">
        <f t="shared" ref="M835:M898" si="41">IF(L835="Invalid DOB","Invalid DOB",IF(L835&lt;=4,"Early childhood",IF(L835&lt;=17,"Children and Adolescent",IF(L835&lt;=24,"Young Adults",IF(L835&lt;=59,"Adults","Older Adults")))))</f>
        <v>Young Adults</v>
      </c>
    </row>
    <row r="836" spans="1:13" x14ac:dyDescent="0.25">
      <c r="A836" t="s">
        <v>1822</v>
      </c>
      <c r="B836" t="s">
        <v>1823</v>
      </c>
      <c r="C836" s="6">
        <v>15962</v>
      </c>
      <c r="D836" t="s">
        <v>11</v>
      </c>
      <c r="E836" t="s">
        <v>28</v>
      </c>
      <c r="F836" t="s">
        <v>43</v>
      </c>
      <c r="G836" t="s">
        <v>124</v>
      </c>
      <c r="H836" s="6">
        <v>45295</v>
      </c>
      <c r="I836" s="6">
        <v>45325</v>
      </c>
      <c r="J836" s="4">
        <v>15273.44</v>
      </c>
      <c r="K836">
        <f t="shared" si="40"/>
        <v>30</v>
      </c>
      <c r="L836">
        <f t="shared" si="39"/>
        <v>80</v>
      </c>
      <c r="M836" t="str">
        <f t="shared" si="41"/>
        <v>Older Adults</v>
      </c>
    </row>
    <row r="837" spans="1:13" x14ac:dyDescent="0.25">
      <c r="A837" t="s">
        <v>1824</v>
      </c>
      <c r="B837" t="s">
        <v>1825</v>
      </c>
      <c r="C837" s="6">
        <v>12344</v>
      </c>
      <c r="D837" t="s">
        <v>27</v>
      </c>
      <c r="E837" t="s">
        <v>138</v>
      </c>
      <c r="F837" t="s">
        <v>209</v>
      </c>
      <c r="G837" t="s">
        <v>139</v>
      </c>
      <c r="H837" s="6">
        <v>45296</v>
      </c>
      <c r="I837" s="6">
        <v>45311</v>
      </c>
      <c r="J837" s="4">
        <v>1191.77</v>
      </c>
      <c r="K837">
        <f t="shared" si="40"/>
        <v>15</v>
      </c>
      <c r="L837">
        <f t="shared" si="39"/>
        <v>90</v>
      </c>
      <c r="M837" t="str">
        <f t="shared" si="41"/>
        <v>Older Adults</v>
      </c>
    </row>
    <row r="838" spans="1:13" x14ac:dyDescent="0.25">
      <c r="A838" t="s">
        <v>1826</v>
      </c>
      <c r="B838" t="s">
        <v>1827</v>
      </c>
      <c r="C838" s="6">
        <v>32956</v>
      </c>
      <c r="D838" t="s">
        <v>27</v>
      </c>
      <c r="E838" t="s">
        <v>187</v>
      </c>
      <c r="F838" t="s">
        <v>188</v>
      </c>
      <c r="G838" t="s">
        <v>189</v>
      </c>
      <c r="H838" s="6">
        <v>45299</v>
      </c>
      <c r="I838" s="6">
        <v>45327</v>
      </c>
      <c r="J838" s="4">
        <v>8946.19</v>
      </c>
      <c r="K838">
        <f t="shared" si="40"/>
        <v>28</v>
      </c>
      <c r="L838">
        <f t="shared" si="39"/>
        <v>33</v>
      </c>
      <c r="M838" t="str">
        <f t="shared" si="41"/>
        <v>Adults</v>
      </c>
    </row>
    <row r="839" spans="1:13" x14ac:dyDescent="0.25">
      <c r="A839" t="s">
        <v>1828</v>
      </c>
      <c r="B839" t="s">
        <v>1829</v>
      </c>
      <c r="C839" s="6">
        <v>26007</v>
      </c>
      <c r="D839" t="s">
        <v>11</v>
      </c>
      <c r="E839" t="s">
        <v>187</v>
      </c>
      <c r="F839" t="s">
        <v>13</v>
      </c>
      <c r="G839" t="s">
        <v>189</v>
      </c>
      <c r="H839" s="6">
        <v>45299</v>
      </c>
      <c r="I839" s="6">
        <v>45305</v>
      </c>
      <c r="J839" s="4">
        <v>12693.82</v>
      </c>
      <c r="K839">
        <f t="shared" si="40"/>
        <v>6</v>
      </c>
      <c r="L839">
        <f t="shared" si="39"/>
        <v>52</v>
      </c>
      <c r="M839" t="str">
        <f t="shared" si="41"/>
        <v>Adults</v>
      </c>
    </row>
    <row r="840" spans="1:13" x14ac:dyDescent="0.25">
      <c r="A840" t="s">
        <v>1830</v>
      </c>
      <c r="B840" t="s">
        <v>1831</v>
      </c>
      <c r="C840" s="6">
        <v>30295</v>
      </c>
      <c r="D840" t="s">
        <v>11</v>
      </c>
      <c r="E840" t="s">
        <v>33</v>
      </c>
      <c r="F840" t="s">
        <v>34</v>
      </c>
      <c r="G840" t="s">
        <v>378</v>
      </c>
      <c r="H840" s="6">
        <v>45300</v>
      </c>
      <c r="I840" s="6">
        <v>45329</v>
      </c>
      <c r="J840" s="4">
        <v>4719.42</v>
      </c>
      <c r="K840">
        <f t="shared" si="40"/>
        <v>29</v>
      </c>
      <c r="L840">
        <f t="shared" si="39"/>
        <v>41</v>
      </c>
      <c r="M840" t="str">
        <f t="shared" si="41"/>
        <v>Adults</v>
      </c>
    </row>
    <row r="841" spans="1:13" x14ac:dyDescent="0.25">
      <c r="A841" t="s">
        <v>1832</v>
      </c>
      <c r="B841" t="s">
        <v>1833</v>
      </c>
      <c r="C841" s="6">
        <v>42674</v>
      </c>
      <c r="D841" t="s">
        <v>27</v>
      </c>
      <c r="E841" t="s">
        <v>138</v>
      </c>
      <c r="F841" t="s">
        <v>110</v>
      </c>
      <c r="G841" t="s">
        <v>143</v>
      </c>
      <c r="H841" s="6">
        <v>45300</v>
      </c>
      <c r="I841" s="6">
        <v>45310</v>
      </c>
      <c r="J841" s="4">
        <v>2428.21</v>
      </c>
      <c r="K841">
        <f t="shared" si="40"/>
        <v>10</v>
      </c>
      <c r="L841">
        <f t="shared" si="39"/>
        <v>7</v>
      </c>
      <c r="M841" t="str">
        <f t="shared" si="41"/>
        <v>Children and Adolescent</v>
      </c>
    </row>
    <row r="842" spans="1:13" x14ac:dyDescent="0.25">
      <c r="A842" t="s">
        <v>1834</v>
      </c>
      <c r="B842" t="s">
        <v>1835</v>
      </c>
      <c r="C842" s="6">
        <v>29321</v>
      </c>
      <c r="D842" t="s">
        <v>11</v>
      </c>
      <c r="E842" t="s">
        <v>271</v>
      </c>
      <c r="F842" t="s">
        <v>272</v>
      </c>
      <c r="G842" t="s">
        <v>273</v>
      </c>
      <c r="H842" s="6">
        <v>45301</v>
      </c>
      <c r="I842" s="6">
        <v>45314</v>
      </c>
      <c r="J842" s="4">
        <v>264.87</v>
      </c>
      <c r="K842">
        <f t="shared" si="40"/>
        <v>13</v>
      </c>
      <c r="L842">
        <f t="shared" si="39"/>
        <v>43</v>
      </c>
      <c r="M842" t="str">
        <f t="shared" si="41"/>
        <v>Adults</v>
      </c>
    </row>
    <row r="843" spans="1:13" x14ac:dyDescent="0.25">
      <c r="A843" t="s">
        <v>1836</v>
      </c>
      <c r="B843" t="s">
        <v>1837</v>
      </c>
      <c r="C843" s="6">
        <v>8882</v>
      </c>
      <c r="D843" t="s">
        <v>11</v>
      </c>
      <c r="E843" t="s">
        <v>22</v>
      </c>
      <c r="F843" t="s">
        <v>23</v>
      </c>
      <c r="G843" t="s">
        <v>107</v>
      </c>
      <c r="H843" s="6">
        <v>45302</v>
      </c>
      <c r="I843" s="6">
        <v>45303</v>
      </c>
      <c r="J843" s="4">
        <v>1659.98</v>
      </c>
      <c r="K843">
        <f t="shared" si="40"/>
        <v>1</v>
      </c>
      <c r="L843">
        <f t="shared" si="39"/>
        <v>99</v>
      </c>
      <c r="M843" t="str">
        <f t="shared" si="41"/>
        <v>Older Adults</v>
      </c>
    </row>
    <row r="844" spans="1:13" x14ac:dyDescent="0.25">
      <c r="A844" t="s">
        <v>1838</v>
      </c>
      <c r="B844" t="s">
        <v>1839</v>
      </c>
      <c r="C844" s="6">
        <v>26487</v>
      </c>
      <c r="D844" t="s">
        <v>11</v>
      </c>
      <c r="E844" t="s">
        <v>362</v>
      </c>
      <c r="F844" t="s">
        <v>799</v>
      </c>
      <c r="G844" t="s">
        <v>363</v>
      </c>
      <c r="H844" s="6">
        <v>45302</v>
      </c>
      <c r="I844" s="6">
        <v>45320</v>
      </c>
      <c r="J844" s="4">
        <v>5425.04</v>
      </c>
      <c r="K844">
        <f t="shared" si="40"/>
        <v>18</v>
      </c>
      <c r="L844">
        <f t="shared" si="39"/>
        <v>51</v>
      </c>
      <c r="M844" t="str">
        <f t="shared" si="41"/>
        <v>Adults</v>
      </c>
    </row>
    <row r="845" spans="1:13" x14ac:dyDescent="0.25">
      <c r="A845" t="s">
        <v>1840</v>
      </c>
      <c r="B845" t="s">
        <v>1841</v>
      </c>
      <c r="C845" s="6">
        <v>26408</v>
      </c>
      <c r="D845" t="s">
        <v>27</v>
      </c>
      <c r="E845" t="s">
        <v>17</v>
      </c>
      <c r="F845" t="s">
        <v>18</v>
      </c>
      <c r="G845" t="s">
        <v>318</v>
      </c>
      <c r="H845" s="6">
        <v>45304</v>
      </c>
      <c r="I845" s="6">
        <v>45331</v>
      </c>
      <c r="J845" s="4">
        <v>1256.6300000000001</v>
      </c>
      <c r="K845">
        <f t="shared" si="40"/>
        <v>27</v>
      </c>
      <c r="L845">
        <f t="shared" si="39"/>
        <v>51</v>
      </c>
      <c r="M845" t="str">
        <f t="shared" si="41"/>
        <v>Adults</v>
      </c>
    </row>
    <row r="846" spans="1:13" x14ac:dyDescent="0.25">
      <c r="A846" t="s">
        <v>1842</v>
      </c>
      <c r="B846" t="s">
        <v>1843</v>
      </c>
      <c r="C846" s="6">
        <v>38456</v>
      </c>
      <c r="D846" t="s">
        <v>27</v>
      </c>
      <c r="E846" t="s">
        <v>92</v>
      </c>
      <c r="F846" t="s">
        <v>93</v>
      </c>
      <c r="G846" t="s">
        <v>94</v>
      </c>
      <c r="H846" s="6">
        <v>45306</v>
      </c>
      <c r="I846" s="6">
        <v>45335</v>
      </c>
      <c r="J846" s="4">
        <v>963.91</v>
      </c>
      <c r="K846">
        <f t="shared" si="40"/>
        <v>29</v>
      </c>
      <c r="L846">
        <f t="shared" si="39"/>
        <v>18</v>
      </c>
      <c r="M846" t="str">
        <f t="shared" si="41"/>
        <v>Young Adults</v>
      </c>
    </row>
    <row r="847" spans="1:13" x14ac:dyDescent="0.25">
      <c r="A847" t="s">
        <v>1844</v>
      </c>
      <c r="B847" t="s">
        <v>1845</v>
      </c>
      <c r="C847" s="6">
        <v>11258</v>
      </c>
      <c r="D847" t="s">
        <v>27</v>
      </c>
      <c r="E847" t="s">
        <v>97</v>
      </c>
      <c r="F847" t="s">
        <v>540</v>
      </c>
      <c r="G847" t="s">
        <v>132</v>
      </c>
      <c r="H847" s="6">
        <v>45307</v>
      </c>
      <c r="I847" s="6">
        <v>45309</v>
      </c>
      <c r="J847" s="4">
        <v>690.77</v>
      </c>
      <c r="K847">
        <f t="shared" si="40"/>
        <v>2</v>
      </c>
      <c r="L847">
        <f t="shared" si="39"/>
        <v>93</v>
      </c>
      <c r="M847" t="str">
        <f t="shared" si="41"/>
        <v>Older Adults</v>
      </c>
    </row>
    <row r="848" spans="1:13" x14ac:dyDescent="0.25">
      <c r="A848" t="s">
        <v>1846</v>
      </c>
      <c r="B848" t="s">
        <v>1847</v>
      </c>
      <c r="C848" s="6">
        <v>22146</v>
      </c>
      <c r="D848" t="s">
        <v>11</v>
      </c>
      <c r="E848" t="s">
        <v>187</v>
      </c>
      <c r="F848" t="s">
        <v>13</v>
      </c>
      <c r="G848" t="s">
        <v>353</v>
      </c>
      <c r="H848" s="6">
        <v>45309</v>
      </c>
      <c r="I848" s="6">
        <v>45326</v>
      </c>
      <c r="J848" s="4">
        <v>7915.1</v>
      </c>
      <c r="K848">
        <f t="shared" si="40"/>
        <v>17</v>
      </c>
      <c r="L848">
        <f t="shared" si="39"/>
        <v>63</v>
      </c>
      <c r="M848" t="str">
        <f t="shared" si="41"/>
        <v>Older Adults</v>
      </c>
    </row>
    <row r="849" spans="1:13" x14ac:dyDescent="0.25">
      <c r="A849" t="s">
        <v>1848</v>
      </c>
      <c r="B849" t="s">
        <v>1849</v>
      </c>
      <c r="C849" s="6">
        <v>23431</v>
      </c>
      <c r="D849" t="s">
        <v>27</v>
      </c>
      <c r="E849" t="s">
        <v>84</v>
      </c>
      <c r="F849" t="s">
        <v>85</v>
      </c>
      <c r="G849" t="s">
        <v>254</v>
      </c>
      <c r="H849" s="6">
        <v>45313</v>
      </c>
      <c r="I849" s="6">
        <v>45338</v>
      </c>
      <c r="J849" s="4">
        <v>2260.2600000000002</v>
      </c>
      <c r="K849">
        <f t="shared" si="40"/>
        <v>25</v>
      </c>
      <c r="L849">
        <f t="shared" si="39"/>
        <v>59</v>
      </c>
      <c r="M849" t="str">
        <f t="shared" si="41"/>
        <v>Adults</v>
      </c>
    </row>
    <row r="850" spans="1:13" x14ac:dyDescent="0.25">
      <c r="A850" t="s">
        <v>1850</v>
      </c>
      <c r="B850" t="s">
        <v>1851</v>
      </c>
      <c r="C850" s="6">
        <v>24777</v>
      </c>
      <c r="D850" t="s">
        <v>11</v>
      </c>
      <c r="E850" t="s">
        <v>187</v>
      </c>
      <c r="F850" t="s">
        <v>188</v>
      </c>
      <c r="G850" t="s">
        <v>353</v>
      </c>
      <c r="H850" s="6">
        <v>45313</v>
      </c>
      <c r="I850" s="6">
        <v>45317</v>
      </c>
      <c r="J850" s="4">
        <v>10431.379999999999</v>
      </c>
      <c r="K850">
        <f t="shared" si="40"/>
        <v>4</v>
      </c>
      <c r="L850">
        <f t="shared" si="39"/>
        <v>56</v>
      </c>
      <c r="M850" t="str">
        <f t="shared" si="41"/>
        <v>Adults</v>
      </c>
    </row>
    <row r="851" spans="1:13" x14ac:dyDescent="0.25">
      <c r="A851" t="s">
        <v>1852</v>
      </c>
      <c r="B851" t="s">
        <v>1853</v>
      </c>
      <c r="C851" s="6">
        <v>45146</v>
      </c>
      <c r="D851" t="s">
        <v>27</v>
      </c>
      <c r="E851" t="s">
        <v>51</v>
      </c>
      <c r="F851" t="s">
        <v>29</v>
      </c>
      <c r="G851" t="s">
        <v>662</v>
      </c>
      <c r="H851" s="6">
        <v>45313</v>
      </c>
      <c r="I851" s="6">
        <v>45334</v>
      </c>
      <c r="J851" s="4">
        <v>2260.2800000000002</v>
      </c>
      <c r="K851">
        <f t="shared" si="40"/>
        <v>21</v>
      </c>
      <c r="L851">
        <f t="shared" si="39"/>
        <v>0</v>
      </c>
      <c r="M851" t="str">
        <f t="shared" si="41"/>
        <v>Early childhood</v>
      </c>
    </row>
    <row r="852" spans="1:13" x14ac:dyDescent="0.25">
      <c r="A852" t="s">
        <v>1854</v>
      </c>
      <c r="B852" t="s">
        <v>1855</v>
      </c>
      <c r="C852" s="6">
        <v>23269</v>
      </c>
      <c r="D852" t="s">
        <v>11</v>
      </c>
      <c r="E852" t="s">
        <v>281</v>
      </c>
      <c r="F852" t="s">
        <v>13</v>
      </c>
      <c r="G852" t="s">
        <v>282</v>
      </c>
      <c r="H852" s="6">
        <v>45314</v>
      </c>
      <c r="I852" s="6">
        <v>45332</v>
      </c>
      <c r="J852" s="4">
        <v>26531.87</v>
      </c>
      <c r="K852">
        <f t="shared" si="40"/>
        <v>18</v>
      </c>
      <c r="L852">
        <f t="shared" si="39"/>
        <v>60</v>
      </c>
      <c r="M852" t="str">
        <f t="shared" si="41"/>
        <v>Older Adults</v>
      </c>
    </row>
    <row r="853" spans="1:13" x14ac:dyDescent="0.25">
      <c r="A853" t="s">
        <v>1856</v>
      </c>
      <c r="B853" t="s">
        <v>1857</v>
      </c>
      <c r="C853" s="6">
        <v>23422</v>
      </c>
      <c r="D853" t="s">
        <v>27</v>
      </c>
      <c r="E853" t="s">
        <v>92</v>
      </c>
      <c r="F853" t="s">
        <v>13</v>
      </c>
      <c r="G853" t="s">
        <v>296</v>
      </c>
      <c r="H853" s="6">
        <v>45315</v>
      </c>
      <c r="I853" s="6">
        <v>45333</v>
      </c>
      <c r="J853" s="4">
        <v>1680.06</v>
      </c>
      <c r="K853">
        <f t="shared" si="40"/>
        <v>18</v>
      </c>
      <c r="L853">
        <f t="shared" si="39"/>
        <v>59</v>
      </c>
      <c r="M853" t="str">
        <f t="shared" si="41"/>
        <v>Adults</v>
      </c>
    </row>
    <row r="854" spans="1:13" x14ac:dyDescent="0.25">
      <c r="A854" t="s">
        <v>1858</v>
      </c>
      <c r="B854" t="s">
        <v>1859</v>
      </c>
      <c r="C854" s="6">
        <v>23669</v>
      </c>
      <c r="D854" t="s">
        <v>11</v>
      </c>
      <c r="E854" t="s">
        <v>12</v>
      </c>
      <c r="F854" t="s">
        <v>13</v>
      </c>
      <c r="G854" t="s">
        <v>14</v>
      </c>
      <c r="H854" s="6">
        <v>45315</v>
      </c>
      <c r="I854" s="6">
        <v>45342</v>
      </c>
      <c r="J854" s="4">
        <v>6171.86</v>
      </c>
      <c r="K854">
        <f t="shared" si="40"/>
        <v>27</v>
      </c>
      <c r="L854">
        <f t="shared" si="39"/>
        <v>59</v>
      </c>
      <c r="M854" t="str">
        <f t="shared" si="41"/>
        <v>Adults</v>
      </c>
    </row>
    <row r="855" spans="1:13" x14ac:dyDescent="0.25">
      <c r="A855" t="s">
        <v>1860</v>
      </c>
      <c r="B855" t="s">
        <v>1861</v>
      </c>
      <c r="C855" s="6">
        <v>43439</v>
      </c>
      <c r="D855" t="s">
        <v>11</v>
      </c>
      <c r="E855" t="s">
        <v>120</v>
      </c>
      <c r="F855" t="s">
        <v>114</v>
      </c>
      <c r="G855" t="s">
        <v>515</v>
      </c>
      <c r="H855" s="6">
        <v>45316</v>
      </c>
      <c r="I855" s="6">
        <v>45337</v>
      </c>
      <c r="J855" s="4">
        <v>1383.73</v>
      </c>
      <c r="K855">
        <f t="shared" si="40"/>
        <v>21</v>
      </c>
      <c r="L855">
        <f t="shared" si="39"/>
        <v>5</v>
      </c>
      <c r="M855" t="str">
        <f t="shared" si="41"/>
        <v>Children and Adolescent</v>
      </c>
    </row>
    <row r="856" spans="1:13" x14ac:dyDescent="0.25">
      <c r="A856" t="s">
        <v>1862</v>
      </c>
      <c r="B856" t="s">
        <v>1863</v>
      </c>
      <c r="C856" s="6">
        <v>10442</v>
      </c>
      <c r="D856" t="s">
        <v>27</v>
      </c>
      <c r="E856" t="s">
        <v>12</v>
      </c>
      <c r="F856" t="s">
        <v>172</v>
      </c>
      <c r="G856" t="s">
        <v>69</v>
      </c>
      <c r="H856" s="6">
        <v>45317</v>
      </c>
      <c r="I856" s="6">
        <v>45333</v>
      </c>
      <c r="J856" s="4">
        <v>11058.58</v>
      </c>
      <c r="K856">
        <f t="shared" si="40"/>
        <v>16</v>
      </c>
      <c r="L856">
        <f t="shared" si="39"/>
        <v>95</v>
      </c>
      <c r="M856" t="str">
        <f t="shared" si="41"/>
        <v>Older Adults</v>
      </c>
    </row>
    <row r="857" spans="1:13" x14ac:dyDescent="0.25">
      <c r="A857" t="s">
        <v>1864</v>
      </c>
      <c r="B857" t="s">
        <v>1865</v>
      </c>
      <c r="C857" s="6">
        <v>43183</v>
      </c>
      <c r="D857" t="s">
        <v>11</v>
      </c>
      <c r="E857" t="s">
        <v>60</v>
      </c>
      <c r="F857" t="s">
        <v>61</v>
      </c>
      <c r="G857" t="s">
        <v>149</v>
      </c>
      <c r="H857" s="6">
        <v>45318</v>
      </c>
      <c r="I857" s="6">
        <v>45321</v>
      </c>
      <c r="J857" s="4">
        <v>41311.870000000003</v>
      </c>
      <c r="K857">
        <f t="shared" si="40"/>
        <v>3</v>
      </c>
      <c r="L857">
        <f t="shared" si="39"/>
        <v>5</v>
      </c>
      <c r="M857" t="str">
        <f t="shared" si="41"/>
        <v>Children and Adolescent</v>
      </c>
    </row>
    <row r="858" spans="1:13" x14ac:dyDescent="0.25">
      <c r="A858" t="s">
        <v>1866</v>
      </c>
      <c r="B858" t="s">
        <v>1867</v>
      </c>
      <c r="C858" s="6">
        <v>21865</v>
      </c>
      <c r="D858" t="s">
        <v>11</v>
      </c>
      <c r="E858" t="s">
        <v>28</v>
      </c>
      <c r="F858" t="s">
        <v>43</v>
      </c>
      <c r="G858" t="s">
        <v>124</v>
      </c>
      <c r="H858" s="6">
        <v>45319</v>
      </c>
      <c r="I858" s="6">
        <v>45336</v>
      </c>
      <c r="J858" s="4">
        <v>14717.69</v>
      </c>
      <c r="K858">
        <f t="shared" si="40"/>
        <v>17</v>
      </c>
      <c r="L858">
        <f t="shared" si="39"/>
        <v>64</v>
      </c>
      <c r="M858" t="str">
        <f t="shared" si="41"/>
        <v>Older Adults</v>
      </c>
    </row>
    <row r="859" spans="1:13" x14ac:dyDescent="0.25">
      <c r="A859" t="s">
        <v>1868</v>
      </c>
      <c r="B859" t="s">
        <v>1869</v>
      </c>
      <c r="C859" s="6">
        <v>25153</v>
      </c>
      <c r="D859" t="s">
        <v>27</v>
      </c>
      <c r="E859" t="s">
        <v>142</v>
      </c>
      <c r="F859" t="s">
        <v>114</v>
      </c>
      <c r="G859" t="s">
        <v>285</v>
      </c>
      <c r="H859" s="6">
        <v>45321</v>
      </c>
      <c r="I859" s="6">
        <v>45327</v>
      </c>
      <c r="J859" s="4">
        <v>1335.47</v>
      </c>
      <c r="K859">
        <f t="shared" si="40"/>
        <v>6</v>
      </c>
      <c r="L859">
        <f t="shared" si="39"/>
        <v>55</v>
      </c>
      <c r="M859" t="str">
        <f t="shared" si="41"/>
        <v>Adults</v>
      </c>
    </row>
    <row r="860" spans="1:13" x14ac:dyDescent="0.25">
      <c r="A860" t="s">
        <v>1870</v>
      </c>
      <c r="B860" t="s">
        <v>1871</v>
      </c>
      <c r="C860" s="6">
        <v>44618</v>
      </c>
      <c r="D860" t="s">
        <v>27</v>
      </c>
      <c r="E860" t="s">
        <v>12</v>
      </c>
      <c r="F860" t="s">
        <v>172</v>
      </c>
      <c r="G860" t="s">
        <v>69</v>
      </c>
      <c r="H860" s="6">
        <v>45322</v>
      </c>
      <c r="I860" s="6">
        <v>45332</v>
      </c>
      <c r="J860" s="4">
        <v>17446.7</v>
      </c>
      <c r="K860">
        <f t="shared" si="40"/>
        <v>10</v>
      </c>
      <c r="L860">
        <f t="shared" si="39"/>
        <v>1</v>
      </c>
      <c r="M860" t="str">
        <f t="shared" si="41"/>
        <v>Early childhood</v>
      </c>
    </row>
    <row r="861" spans="1:13" x14ac:dyDescent="0.25">
      <c r="A861" t="s">
        <v>1872</v>
      </c>
      <c r="B861" t="s">
        <v>1873</v>
      </c>
      <c r="C861" s="6">
        <v>28670</v>
      </c>
      <c r="D861" t="s">
        <v>11</v>
      </c>
      <c r="E861" t="s">
        <v>65</v>
      </c>
      <c r="F861" t="s">
        <v>518</v>
      </c>
      <c r="G861" t="s">
        <v>66</v>
      </c>
      <c r="H861" s="6">
        <v>45323</v>
      </c>
      <c r="I861" s="6">
        <v>45324</v>
      </c>
      <c r="J861" s="4">
        <v>168.97</v>
      </c>
      <c r="K861">
        <f t="shared" si="40"/>
        <v>1</v>
      </c>
      <c r="L861">
        <f t="shared" si="39"/>
        <v>45</v>
      </c>
      <c r="M861" t="str">
        <f t="shared" si="41"/>
        <v>Adults</v>
      </c>
    </row>
    <row r="862" spans="1:13" x14ac:dyDescent="0.25">
      <c r="A862" t="s">
        <v>1874</v>
      </c>
      <c r="B862" t="s">
        <v>1875</v>
      </c>
      <c r="C862" s="6">
        <v>15643</v>
      </c>
      <c r="D862" t="s">
        <v>27</v>
      </c>
      <c r="E862" t="s">
        <v>92</v>
      </c>
      <c r="F862" t="s">
        <v>13</v>
      </c>
      <c r="G862" t="s">
        <v>421</v>
      </c>
      <c r="H862" s="6">
        <v>45324</v>
      </c>
      <c r="I862" s="6">
        <v>45351</v>
      </c>
      <c r="J862" s="4">
        <v>686.96</v>
      </c>
      <c r="K862">
        <f t="shared" si="40"/>
        <v>27</v>
      </c>
      <c r="L862">
        <f t="shared" si="39"/>
        <v>81</v>
      </c>
      <c r="M862" t="str">
        <f t="shared" si="41"/>
        <v>Older Adults</v>
      </c>
    </row>
    <row r="863" spans="1:13" x14ac:dyDescent="0.25">
      <c r="A863" t="s">
        <v>1876</v>
      </c>
      <c r="B863" t="s">
        <v>1877</v>
      </c>
      <c r="C863" s="6">
        <v>17808</v>
      </c>
      <c r="D863" t="s">
        <v>11</v>
      </c>
      <c r="E863" t="s">
        <v>120</v>
      </c>
      <c r="F863" t="s">
        <v>114</v>
      </c>
      <c r="G863" t="s">
        <v>515</v>
      </c>
      <c r="H863" s="6">
        <v>45325</v>
      </c>
      <c r="I863" s="6">
        <v>45344</v>
      </c>
      <c r="J863" s="4">
        <v>1044.56</v>
      </c>
      <c r="K863">
        <f t="shared" si="40"/>
        <v>19</v>
      </c>
      <c r="L863">
        <f t="shared" si="39"/>
        <v>75</v>
      </c>
      <c r="M863" t="str">
        <f t="shared" si="41"/>
        <v>Older Adults</v>
      </c>
    </row>
    <row r="864" spans="1:13" x14ac:dyDescent="0.25">
      <c r="A864" t="s">
        <v>1878</v>
      </c>
      <c r="B864" t="s">
        <v>1879</v>
      </c>
      <c r="C864" s="6">
        <v>24447</v>
      </c>
      <c r="D864" t="s">
        <v>11</v>
      </c>
      <c r="E864" t="s">
        <v>84</v>
      </c>
      <c r="F864" t="s">
        <v>426</v>
      </c>
      <c r="G864" t="s">
        <v>254</v>
      </c>
      <c r="H864" s="6">
        <v>45325</v>
      </c>
      <c r="I864" s="6">
        <v>45344</v>
      </c>
      <c r="J864" s="4">
        <v>2886.37</v>
      </c>
      <c r="K864">
        <f t="shared" si="40"/>
        <v>19</v>
      </c>
      <c r="L864">
        <f t="shared" si="39"/>
        <v>57</v>
      </c>
      <c r="M864" t="str">
        <f t="shared" si="41"/>
        <v>Adults</v>
      </c>
    </row>
    <row r="865" spans="1:13" x14ac:dyDescent="0.25">
      <c r="A865" t="s">
        <v>1880</v>
      </c>
      <c r="B865" t="s">
        <v>1881</v>
      </c>
      <c r="C865" s="6">
        <v>10160</v>
      </c>
      <c r="D865" t="s">
        <v>27</v>
      </c>
      <c r="E865" t="s">
        <v>17</v>
      </c>
      <c r="F865" t="s">
        <v>18</v>
      </c>
      <c r="G865" t="s">
        <v>135</v>
      </c>
      <c r="H865" s="6">
        <v>45326</v>
      </c>
      <c r="I865" s="6">
        <v>45356</v>
      </c>
      <c r="J865" s="4">
        <v>635.23</v>
      </c>
      <c r="K865">
        <f t="shared" si="40"/>
        <v>30</v>
      </c>
      <c r="L865">
        <f t="shared" si="39"/>
        <v>96</v>
      </c>
      <c r="M865" t="str">
        <f t="shared" si="41"/>
        <v>Older Adults</v>
      </c>
    </row>
    <row r="866" spans="1:13" x14ac:dyDescent="0.25">
      <c r="A866" t="s">
        <v>1882</v>
      </c>
      <c r="B866" t="s">
        <v>1883</v>
      </c>
      <c r="C866" s="6">
        <v>24464</v>
      </c>
      <c r="D866" t="s">
        <v>11</v>
      </c>
      <c r="E866" t="s">
        <v>120</v>
      </c>
      <c r="F866" t="s">
        <v>114</v>
      </c>
      <c r="G866" t="s">
        <v>515</v>
      </c>
      <c r="H866" s="6">
        <v>45326</v>
      </c>
      <c r="I866" s="6">
        <v>45356</v>
      </c>
      <c r="J866" s="4">
        <v>1412.36</v>
      </c>
      <c r="K866">
        <f t="shared" si="40"/>
        <v>30</v>
      </c>
      <c r="L866">
        <f t="shared" si="39"/>
        <v>57</v>
      </c>
      <c r="M866" t="str">
        <f t="shared" si="41"/>
        <v>Adults</v>
      </c>
    </row>
    <row r="867" spans="1:13" x14ac:dyDescent="0.25">
      <c r="A867" t="s">
        <v>1884</v>
      </c>
      <c r="B867" t="s">
        <v>1885</v>
      </c>
      <c r="C867" s="6">
        <v>17586</v>
      </c>
      <c r="D867" t="s">
        <v>27</v>
      </c>
      <c r="E867" t="s">
        <v>28</v>
      </c>
      <c r="F867" t="s">
        <v>43</v>
      </c>
      <c r="G867" t="s">
        <v>30</v>
      </c>
      <c r="H867" s="6">
        <v>45326</v>
      </c>
      <c r="I867" s="6">
        <v>45351</v>
      </c>
      <c r="J867" s="4">
        <v>15785.89</v>
      </c>
      <c r="K867">
        <f t="shared" si="40"/>
        <v>25</v>
      </c>
      <c r="L867">
        <f t="shared" si="39"/>
        <v>75</v>
      </c>
      <c r="M867" t="str">
        <f t="shared" si="41"/>
        <v>Older Adults</v>
      </c>
    </row>
    <row r="868" spans="1:13" x14ac:dyDescent="0.25">
      <c r="A868" t="s">
        <v>1886</v>
      </c>
      <c r="B868" t="s">
        <v>1887</v>
      </c>
      <c r="C868" s="6">
        <v>10574</v>
      </c>
      <c r="D868" t="s">
        <v>27</v>
      </c>
      <c r="E868" t="s">
        <v>127</v>
      </c>
      <c r="F868" t="s">
        <v>114</v>
      </c>
      <c r="G868" t="s">
        <v>157</v>
      </c>
      <c r="H868" s="6">
        <v>45328</v>
      </c>
      <c r="I868" s="6">
        <v>45334</v>
      </c>
      <c r="J868" s="4">
        <v>607.32000000000005</v>
      </c>
      <c r="K868">
        <f t="shared" si="40"/>
        <v>6</v>
      </c>
      <c r="L868">
        <f t="shared" si="39"/>
        <v>95</v>
      </c>
      <c r="M868" t="str">
        <f t="shared" si="41"/>
        <v>Older Adults</v>
      </c>
    </row>
    <row r="869" spans="1:13" x14ac:dyDescent="0.25">
      <c r="A869" t="s">
        <v>1888</v>
      </c>
      <c r="B869" t="s">
        <v>1889</v>
      </c>
      <c r="C869" s="6">
        <v>36641</v>
      </c>
      <c r="D869" t="s">
        <v>27</v>
      </c>
      <c r="E869" t="s">
        <v>12</v>
      </c>
      <c r="F869" t="s">
        <v>172</v>
      </c>
      <c r="G869" t="s">
        <v>173</v>
      </c>
      <c r="H869" s="6">
        <v>45328</v>
      </c>
      <c r="I869" s="6">
        <v>45337</v>
      </c>
      <c r="J869" s="4">
        <v>16464.66</v>
      </c>
      <c r="K869">
        <f t="shared" si="40"/>
        <v>9</v>
      </c>
      <c r="L869">
        <f t="shared" si="39"/>
        <v>23</v>
      </c>
      <c r="M869" t="str">
        <f t="shared" si="41"/>
        <v>Young Adults</v>
      </c>
    </row>
    <row r="870" spans="1:13" x14ac:dyDescent="0.25">
      <c r="A870" t="s">
        <v>1890</v>
      </c>
      <c r="B870" t="s">
        <v>1891</v>
      </c>
      <c r="C870" s="6">
        <v>38384</v>
      </c>
      <c r="D870" t="s">
        <v>11</v>
      </c>
      <c r="E870" t="s">
        <v>33</v>
      </c>
      <c r="F870" t="s">
        <v>13</v>
      </c>
      <c r="G870" t="s">
        <v>35</v>
      </c>
      <c r="H870" s="6">
        <v>45331</v>
      </c>
      <c r="I870" s="6">
        <v>45349</v>
      </c>
      <c r="J870" s="4">
        <v>4212.9399999999996</v>
      </c>
      <c r="K870">
        <f t="shared" si="40"/>
        <v>18</v>
      </c>
      <c r="L870">
        <f t="shared" si="39"/>
        <v>19</v>
      </c>
      <c r="M870" t="str">
        <f t="shared" si="41"/>
        <v>Young Adults</v>
      </c>
    </row>
    <row r="871" spans="1:13" x14ac:dyDescent="0.25">
      <c r="A871" t="s">
        <v>1892</v>
      </c>
      <c r="B871" t="s">
        <v>1893</v>
      </c>
      <c r="C871" s="6">
        <v>40475</v>
      </c>
      <c r="D871" t="s">
        <v>11</v>
      </c>
      <c r="E871" t="s">
        <v>22</v>
      </c>
      <c r="F871" t="s">
        <v>23</v>
      </c>
      <c r="G871" t="s">
        <v>111</v>
      </c>
      <c r="H871" s="6">
        <v>45331</v>
      </c>
      <c r="I871" s="6">
        <v>45355</v>
      </c>
      <c r="J871" s="4">
        <v>2555.34</v>
      </c>
      <c r="K871">
        <f t="shared" si="40"/>
        <v>24</v>
      </c>
      <c r="L871">
        <f t="shared" si="39"/>
        <v>13</v>
      </c>
      <c r="M871" t="str">
        <f t="shared" si="41"/>
        <v>Children and Adolescent</v>
      </c>
    </row>
    <row r="872" spans="1:13" x14ac:dyDescent="0.25">
      <c r="A872" t="s">
        <v>1894</v>
      </c>
      <c r="B872" t="s">
        <v>1895</v>
      </c>
      <c r="C872" s="6">
        <v>25813</v>
      </c>
      <c r="D872" t="s">
        <v>27</v>
      </c>
      <c r="E872" t="s">
        <v>362</v>
      </c>
      <c r="F872" t="s">
        <v>172</v>
      </c>
      <c r="G872" t="s">
        <v>363</v>
      </c>
      <c r="H872" s="6">
        <v>45333</v>
      </c>
      <c r="I872" s="6">
        <v>45358</v>
      </c>
      <c r="J872" s="4">
        <v>10381.83</v>
      </c>
      <c r="K872">
        <f t="shared" si="40"/>
        <v>25</v>
      </c>
      <c r="L872">
        <f t="shared" si="39"/>
        <v>53</v>
      </c>
      <c r="M872" t="str">
        <f t="shared" si="41"/>
        <v>Adults</v>
      </c>
    </row>
    <row r="873" spans="1:13" x14ac:dyDescent="0.25">
      <c r="A873" t="s">
        <v>1896</v>
      </c>
      <c r="B873" t="s">
        <v>1897</v>
      </c>
      <c r="C873" s="6">
        <v>31771</v>
      </c>
      <c r="D873" t="s">
        <v>27</v>
      </c>
      <c r="E873" t="s">
        <v>127</v>
      </c>
      <c r="F873" t="s">
        <v>114</v>
      </c>
      <c r="G873" t="s">
        <v>24</v>
      </c>
      <c r="H873" s="6">
        <v>45334</v>
      </c>
      <c r="I873" s="6">
        <v>45349</v>
      </c>
      <c r="J873" s="4">
        <v>2703.13</v>
      </c>
      <c r="K873">
        <f t="shared" si="40"/>
        <v>15</v>
      </c>
      <c r="L873">
        <f t="shared" si="39"/>
        <v>37</v>
      </c>
      <c r="M873" t="str">
        <f t="shared" si="41"/>
        <v>Adults</v>
      </c>
    </row>
    <row r="874" spans="1:13" x14ac:dyDescent="0.25">
      <c r="A874" t="s">
        <v>1898</v>
      </c>
      <c r="B874" t="s">
        <v>1899</v>
      </c>
      <c r="C874" s="6">
        <v>12486</v>
      </c>
      <c r="D874" t="s">
        <v>11</v>
      </c>
      <c r="E874" t="s">
        <v>281</v>
      </c>
      <c r="F874" t="s">
        <v>188</v>
      </c>
      <c r="G874" t="s">
        <v>437</v>
      </c>
      <c r="H874" s="6">
        <v>45334</v>
      </c>
      <c r="I874" s="6">
        <v>45351</v>
      </c>
      <c r="J874" s="4">
        <v>25848.39</v>
      </c>
      <c r="K874">
        <f t="shared" si="40"/>
        <v>17</v>
      </c>
      <c r="L874">
        <f t="shared" si="39"/>
        <v>89</v>
      </c>
      <c r="M874" t="str">
        <f t="shared" si="41"/>
        <v>Older Adults</v>
      </c>
    </row>
    <row r="875" spans="1:13" x14ac:dyDescent="0.25">
      <c r="A875" t="s">
        <v>1900</v>
      </c>
      <c r="B875" t="s">
        <v>1901</v>
      </c>
      <c r="C875" s="6">
        <v>23724</v>
      </c>
      <c r="D875" t="s">
        <v>11</v>
      </c>
      <c r="E875" t="s">
        <v>33</v>
      </c>
      <c r="F875" t="s">
        <v>34</v>
      </c>
      <c r="G875" t="s">
        <v>478</v>
      </c>
      <c r="H875" s="6">
        <v>45334</v>
      </c>
      <c r="I875" s="6">
        <v>45344</v>
      </c>
      <c r="J875" s="4">
        <v>4994.5200000000004</v>
      </c>
      <c r="K875">
        <f t="shared" si="40"/>
        <v>10</v>
      </c>
      <c r="L875">
        <f t="shared" si="39"/>
        <v>59</v>
      </c>
      <c r="M875" t="str">
        <f t="shared" si="41"/>
        <v>Adults</v>
      </c>
    </row>
    <row r="876" spans="1:13" x14ac:dyDescent="0.25">
      <c r="A876" t="s">
        <v>1902</v>
      </c>
      <c r="B876" t="s">
        <v>1903</v>
      </c>
      <c r="C876" s="6">
        <v>26933</v>
      </c>
      <c r="D876" t="s">
        <v>27</v>
      </c>
      <c r="E876" t="s">
        <v>97</v>
      </c>
      <c r="F876" t="s">
        <v>98</v>
      </c>
      <c r="G876" t="s">
        <v>221</v>
      </c>
      <c r="H876" s="6">
        <v>45335</v>
      </c>
      <c r="I876" s="6">
        <v>45340</v>
      </c>
      <c r="J876" s="4">
        <v>591.62</v>
      </c>
      <c r="K876">
        <f t="shared" si="40"/>
        <v>5</v>
      </c>
      <c r="L876">
        <f t="shared" si="39"/>
        <v>50</v>
      </c>
      <c r="M876" t="str">
        <f t="shared" si="41"/>
        <v>Adults</v>
      </c>
    </row>
    <row r="877" spans="1:13" x14ac:dyDescent="0.25">
      <c r="A877" t="s">
        <v>1904</v>
      </c>
      <c r="B877" t="s">
        <v>1905</v>
      </c>
      <c r="C877" s="6">
        <v>14331</v>
      </c>
      <c r="D877" t="s">
        <v>27</v>
      </c>
      <c r="E877" t="s">
        <v>281</v>
      </c>
      <c r="F877" t="s">
        <v>188</v>
      </c>
      <c r="G877" t="s">
        <v>437</v>
      </c>
      <c r="H877" s="6">
        <v>45336</v>
      </c>
      <c r="I877" s="6">
        <v>45360</v>
      </c>
      <c r="J877" s="4">
        <v>19095.03</v>
      </c>
      <c r="K877">
        <f t="shared" si="40"/>
        <v>24</v>
      </c>
      <c r="L877">
        <f t="shared" si="39"/>
        <v>84</v>
      </c>
      <c r="M877" t="str">
        <f t="shared" si="41"/>
        <v>Older Adults</v>
      </c>
    </row>
    <row r="878" spans="1:13" x14ac:dyDescent="0.25">
      <c r="A878" t="s">
        <v>1906</v>
      </c>
      <c r="B878" t="s">
        <v>1907</v>
      </c>
      <c r="C878" s="6">
        <v>17766</v>
      </c>
      <c r="D878" t="s">
        <v>11</v>
      </c>
      <c r="E878" t="s">
        <v>362</v>
      </c>
      <c r="F878" t="s">
        <v>172</v>
      </c>
      <c r="G878" t="s">
        <v>603</v>
      </c>
      <c r="H878" s="6">
        <v>45337</v>
      </c>
      <c r="I878" s="6">
        <v>45360</v>
      </c>
      <c r="J878" s="4">
        <v>17432.990000000002</v>
      </c>
      <c r="K878">
        <f t="shared" si="40"/>
        <v>23</v>
      </c>
      <c r="L878">
        <f t="shared" si="39"/>
        <v>75</v>
      </c>
      <c r="M878" t="str">
        <f t="shared" si="41"/>
        <v>Older Adults</v>
      </c>
    </row>
    <row r="879" spans="1:13" x14ac:dyDescent="0.25">
      <c r="A879" t="s">
        <v>1908</v>
      </c>
      <c r="B879" t="s">
        <v>106</v>
      </c>
      <c r="C879" s="6">
        <v>32169</v>
      </c>
      <c r="D879" t="s">
        <v>11</v>
      </c>
      <c r="E879" t="s">
        <v>120</v>
      </c>
      <c r="F879" t="s">
        <v>103</v>
      </c>
      <c r="G879" t="s">
        <v>121</v>
      </c>
      <c r="H879" s="6">
        <v>45338</v>
      </c>
      <c r="I879" s="6">
        <v>45348</v>
      </c>
      <c r="J879" s="4">
        <v>2775.55</v>
      </c>
      <c r="K879">
        <f t="shared" si="40"/>
        <v>10</v>
      </c>
      <c r="L879">
        <f t="shared" si="39"/>
        <v>36</v>
      </c>
      <c r="M879" t="str">
        <f t="shared" si="41"/>
        <v>Adults</v>
      </c>
    </row>
    <row r="880" spans="1:13" x14ac:dyDescent="0.25">
      <c r="A880" t="s">
        <v>1909</v>
      </c>
      <c r="B880" t="s">
        <v>1910</v>
      </c>
      <c r="C880" s="6">
        <v>9175</v>
      </c>
      <c r="D880" t="s">
        <v>11</v>
      </c>
      <c r="E880" t="s">
        <v>187</v>
      </c>
      <c r="F880" t="s">
        <v>188</v>
      </c>
      <c r="G880" t="s">
        <v>192</v>
      </c>
      <c r="H880" s="6">
        <v>45339</v>
      </c>
      <c r="I880" s="6">
        <v>45351</v>
      </c>
      <c r="J880" s="4">
        <v>3150.23</v>
      </c>
      <c r="K880">
        <f t="shared" si="40"/>
        <v>12</v>
      </c>
      <c r="L880">
        <f t="shared" si="39"/>
        <v>99</v>
      </c>
      <c r="M880" t="str">
        <f t="shared" si="41"/>
        <v>Older Adults</v>
      </c>
    </row>
    <row r="881" spans="1:13" x14ac:dyDescent="0.25">
      <c r="A881" t="s">
        <v>1911</v>
      </c>
      <c r="B881" t="s">
        <v>1912</v>
      </c>
      <c r="C881" s="6">
        <v>19900</v>
      </c>
      <c r="D881" t="s">
        <v>27</v>
      </c>
      <c r="E881" t="s">
        <v>17</v>
      </c>
      <c r="F881" t="s">
        <v>18</v>
      </c>
      <c r="G881" t="s">
        <v>135</v>
      </c>
      <c r="H881" s="6">
        <v>45340</v>
      </c>
      <c r="I881" s="6">
        <v>45353</v>
      </c>
      <c r="J881" s="4">
        <v>1921.61</v>
      </c>
      <c r="K881">
        <f t="shared" si="40"/>
        <v>13</v>
      </c>
      <c r="L881">
        <f t="shared" si="39"/>
        <v>69</v>
      </c>
      <c r="M881" t="str">
        <f t="shared" si="41"/>
        <v>Older Adults</v>
      </c>
    </row>
    <row r="882" spans="1:13" x14ac:dyDescent="0.25">
      <c r="A882" t="s">
        <v>1913</v>
      </c>
      <c r="B882" t="s">
        <v>1914</v>
      </c>
      <c r="C882" s="6">
        <v>43702</v>
      </c>
      <c r="D882" t="s">
        <v>11</v>
      </c>
      <c r="E882" t="s">
        <v>138</v>
      </c>
      <c r="F882" t="s">
        <v>110</v>
      </c>
      <c r="G882" t="s">
        <v>139</v>
      </c>
      <c r="H882" s="6">
        <v>45341</v>
      </c>
      <c r="I882" s="6">
        <v>45360</v>
      </c>
      <c r="J882" s="4">
        <v>2680.41</v>
      </c>
      <c r="K882">
        <f t="shared" si="40"/>
        <v>19</v>
      </c>
      <c r="L882">
        <f t="shared" si="39"/>
        <v>4</v>
      </c>
      <c r="M882" t="str">
        <f t="shared" si="41"/>
        <v>Early childhood</v>
      </c>
    </row>
    <row r="883" spans="1:13" x14ac:dyDescent="0.25">
      <c r="A883" t="s">
        <v>1915</v>
      </c>
      <c r="B883" t="s">
        <v>1916</v>
      </c>
      <c r="C883" s="6">
        <v>23673</v>
      </c>
      <c r="D883" t="s">
        <v>11</v>
      </c>
      <c r="E883" t="s">
        <v>33</v>
      </c>
      <c r="F883" t="s">
        <v>13</v>
      </c>
      <c r="G883" t="s">
        <v>478</v>
      </c>
      <c r="H883" s="6">
        <v>45344</v>
      </c>
      <c r="I883" s="6">
        <v>45374</v>
      </c>
      <c r="J883" s="4">
        <v>2118.12</v>
      </c>
      <c r="K883">
        <f t="shared" si="40"/>
        <v>30</v>
      </c>
      <c r="L883">
        <f t="shared" si="39"/>
        <v>59</v>
      </c>
      <c r="M883" t="str">
        <f t="shared" si="41"/>
        <v>Adults</v>
      </c>
    </row>
    <row r="884" spans="1:13" x14ac:dyDescent="0.25">
      <c r="A884" t="s">
        <v>1917</v>
      </c>
      <c r="B884" t="s">
        <v>1918</v>
      </c>
      <c r="C884" s="6">
        <v>26812</v>
      </c>
      <c r="D884" t="s">
        <v>27</v>
      </c>
      <c r="E884" t="s">
        <v>102</v>
      </c>
      <c r="F884" t="s">
        <v>103</v>
      </c>
      <c r="G884" t="s">
        <v>529</v>
      </c>
      <c r="H884" s="6">
        <v>45350</v>
      </c>
      <c r="I884" s="6">
        <v>45374</v>
      </c>
      <c r="J884" s="4">
        <v>16855.080000000002</v>
      </c>
      <c r="K884">
        <f t="shared" si="40"/>
        <v>24</v>
      </c>
      <c r="L884">
        <f t="shared" si="39"/>
        <v>50</v>
      </c>
      <c r="M884" t="str">
        <f t="shared" si="41"/>
        <v>Adults</v>
      </c>
    </row>
    <row r="885" spans="1:13" x14ac:dyDescent="0.25">
      <c r="A885" t="s">
        <v>1919</v>
      </c>
      <c r="B885" t="s">
        <v>1920</v>
      </c>
      <c r="C885" s="6">
        <v>29165</v>
      </c>
      <c r="D885" t="s">
        <v>11</v>
      </c>
      <c r="E885" t="s">
        <v>47</v>
      </c>
      <c r="F885" t="s">
        <v>340</v>
      </c>
      <c r="G885" t="s">
        <v>243</v>
      </c>
      <c r="H885" s="6">
        <v>45352</v>
      </c>
      <c r="I885" s="6">
        <v>45353</v>
      </c>
      <c r="J885" s="4">
        <v>9792.5300000000007</v>
      </c>
      <c r="K885">
        <f t="shared" si="40"/>
        <v>1</v>
      </c>
      <c r="L885">
        <f t="shared" si="39"/>
        <v>44</v>
      </c>
      <c r="M885" t="str">
        <f t="shared" si="41"/>
        <v>Adults</v>
      </c>
    </row>
    <row r="886" spans="1:13" x14ac:dyDescent="0.25">
      <c r="A886" t="s">
        <v>1921</v>
      </c>
      <c r="B886" t="s">
        <v>1922</v>
      </c>
      <c r="C886" s="6">
        <v>23926</v>
      </c>
      <c r="D886" t="s">
        <v>11</v>
      </c>
      <c r="E886" t="s">
        <v>28</v>
      </c>
      <c r="F886" t="s">
        <v>43</v>
      </c>
      <c r="G886" t="s">
        <v>124</v>
      </c>
      <c r="H886" s="6">
        <v>45353</v>
      </c>
      <c r="I886" s="6">
        <v>45368</v>
      </c>
      <c r="J886" s="4">
        <v>18993.900000000001</v>
      </c>
      <c r="K886">
        <f t="shared" si="40"/>
        <v>15</v>
      </c>
      <c r="L886">
        <f t="shared" si="39"/>
        <v>58</v>
      </c>
      <c r="M886" t="str">
        <f t="shared" si="41"/>
        <v>Adults</v>
      </c>
    </row>
    <row r="887" spans="1:13" x14ac:dyDescent="0.25">
      <c r="A887" t="s">
        <v>1923</v>
      </c>
      <c r="B887" t="s">
        <v>1924</v>
      </c>
      <c r="C887" s="6">
        <v>12332</v>
      </c>
      <c r="D887" t="s">
        <v>11</v>
      </c>
      <c r="E887" t="s">
        <v>47</v>
      </c>
      <c r="F887" t="s">
        <v>188</v>
      </c>
      <c r="G887" t="s">
        <v>341</v>
      </c>
      <c r="H887" s="6">
        <v>45354</v>
      </c>
      <c r="I887" s="6">
        <v>45374</v>
      </c>
      <c r="J887" s="4">
        <v>8082.6</v>
      </c>
      <c r="K887">
        <f t="shared" si="40"/>
        <v>20</v>
      </c>
      <c r="L887">
        <f t="shared" si="39"/>
        <v>90</v>
      </c>
      <c r="M887" t="str">
        <f t="shared" si="41"/>
        <v>Older Adults</v>
      </c>
    </row>
    <row r="888" spans="1:13" x14ac:dyDescent="0.25">
      <c r="A888" t="s">
        <v>1925</v>
      </c>
      <c r="B888" t="s">
        <v>1926</v>
      </c>
      <c r="C888" s="6">
        <v>20941</v>
      </c>
      <c r="D888" t="s">
        <v>11</v>
      </c>
      <c r="E888" t="s">
        <v>55</v>
      </c>
      <c r="F888" t="s">
        <v>217</v>
      </c>
      <c r="G888" t="s">
        <v>218</v>
      </c>
      <c r="H888" s="6">
        <v>45354</v>
      </c>
      <c r="I888" s="6">
        <v>45378</v>
      </c>
      <c r="J888" s="4">
        <v>4297.34</v>
      </c>
      <c r="K888">
        <f t="shared" si="40"/>
        <v>24</v>
      </c>
      <c r="L888">
        <f t="shared" si="39"/>
        <v>66</v>
      </c>
      <c r="M888" t="str">
        <f t="shared" si="41"/>
        <v>Older Adults</v>
      </c>
    </row>
    <row r="889" spans="1:13" x14ac:dyDescent="0.25">
      <c r="A889" t="s">
        <v>1927</v>
      </c>
      <c r="B889" t="s">
        <v>1928</v>
      </c>
      <c r="C889" s="6">
        <v>30035</v>
      </c>
      <c r="D889" t="s">
        <v>27</v>
      </c>
      <c r="E889" t="s">
        <v>271</v>
      </c>
      <c r="F889" t="s">
        <v>272</v>
      </c>
      <c r="G889" t="s">
        <v>313</v>
      </c>
      <c r="H889" s="6">
        <v>45354</v>
      </c>
      <c r="I889" s="6">
        <v>45362</v>
      </c>
      <c r="J889" s="4">
        <v>399.88</v>
      </c>
      <c r="K889">
        <f t="shared" si="40"/>
        <v>8</v>
      </c>
      <c r="L889">
        <f t="shared" si="39"/>
        <v>41</v>
      </c>
      <c r="M889" t="str">
        <f t="shared" si="41"/>
        <v>Adults</v>
      </c>
    </row>
    <row r="890" spans="1:13" x14ac:dyDescent="0.25">
      <c r="A890" t="s">
        <v>1929</v>
      </c>
      <c r="B890" t="s">
        <v>1930</v>
      </c>
      <c r="C890" s="6">
        <v>25918</v>
      </c>
      <c r="D890" t="s">
        <v>27</v>
      </c>
      <c r="E890" t="s">
        <v>127</v>
      </c>
      <c r="F890" t="s">
        <v>156</v>
      </c>
      <c r="G890" t="s">
        <v>510</v>
      </c>
      <c r="H890" s="6">
        <v>45355</v>
      </c>
      <c r="I890" s="6">
        <v>45379</v>
      </c>
      <c r="J890" s="4">
        <v>1926.77</v>
      </c>
      <c r="K890">
        <f t="shared" si="40"/>
        <v>24</v>
      </c>
      <c r="L890">
        <f t="shared" si="39"/>
        <v>53</v>
      </c>
      <c r="M890" t="str">
        <f t="shared" si="41"/>
        <v>Adults</v>
      </c>
    </row>
    <row r="891" spans="1:13" x14ac:dyDescent="0.25">
      <c r="A891" t="s">
        <v>1931</v>
      </c>
      <c r="B891" t="s">
        <v>1932</v>
      </c>
      <c r="C891" s="6">
        <v>33988</v>
      </c>
      <c r="D891" t="s">
        <v>11</v>
      </c>
      <c r="E891" t="s">
        <v>60</v>
      </c>
      <c r="F891" t="s">
        <v>61</v>
      </c>
      <c r="G891" t="s">
        <v>149</v>
      </c>
      <c r="H891" s="6">
        <v>45356</v>
      </c>
      <c r="I891" s="6">
        <v>45376</v>
      </c>
      <c r="J891" s="4">
        <v>36285.18</v>
      </c>
      <c r="K891">
        <f t="shared" si="40"/>
        <v>20</v>
      </c>
      <c r="L891">
        <f t="shared" si="39"/>
        <v>31</v>
      </c>
      <c r="M891" t="str">
        <f t="shared" si="41"/>
        <v>Adults</v>
      </c>
    </row>
    <row r="892" spans="1:13" x14ac:dyDescent="0.25">
      <c r="A892" t="s">
        <v>1933</v>
      </c>
      <c r="B892" t="s">
        <v>1934</v>
      </c>
      <c r="C892" s="6">
        <v>44953</v>
      </c>
      <c r="D892" t="s">
        <v>11</v>
      </c>
      <c r="E892" t="s">
        <v>33</v>
      </c>
      <c r="F892" t="s">
        <v>13</v>
      </c>
      <c r="G892" t="s">
        <v>378</v>
      </c>
      <c r="H892" s="6">
        <v>45357</v>
      </c>
      <c r="I892" s="6">
        <v>45361</v>
      </c>
      <c r="J892" s="4">
        <v>1941.64</v>
      </c>
      <c r="K892">
        <f t="shared" si="40"/>
        <v>4</v>
      </c>
      <c r="L892">
        <f t="shared" si="39"/>
        <v>1</v>
      </c>
      <c r="M892" t="str">
        <f t="shared" si="41"/>
        <v>Early childhood</v>
      </c>
    </row>
    <row r="893" spans="1:13" x14ac:dyDescent="0.25">
      <c r="A893" t="s">
        <v>1935</v>
      </c>
      <c r="B893" t="s">
        <v>1936</v>
      </c>
      <c r="C893" s="6">
        <v>15316</v>
      </c>
      <c r="D893" t="s">
        <v>11</v>
      </c>
      <c r="E893" t="s">
        <v>12</v>
      </c>
      <c r="F893" t="s">
        <v>172</v>
      </c>
      <c r="G893" t="s">
        <v>14</v>
      </c>
      <c r="H893" s="6">
        <v>45357</v>
      </c>
      <c r="I893" s="6">
        <v>45380</v>
      </c>
      <c r="J893" s="4">
        <v>7935.32</v>
      </c>
      <c r="K893">
        <f t="shared" si="40"/>
        <v>23</v>
      </c>
      <c r="L893">
        <f t="shared" si="39"/>
        <v>82</v>
      </c>
      <c r="M893" t="str">
        <f t="shared" si="41"/>
        <v>Older Adults</v>
      </c>
    </row>
    <row r="894" spans="1:13" x14ac:dyDescent="0.25">
      <c r="A894" t="s">
        <v>1937</v>
      </c>
      <c r="B894" t="s">
        <v>1938</v>
      </c>
      <c r="C894" s="6">
        <v>19873</v>
      </c>
      <c r="D894" t="s">
        <v>27</v>
      </c>
      <c r="E894" t="s">
        <v>47</v>
      </c>
      <c r="F894" t="s">
        <v>340</v>
      </c>
      <c r="G894" t="s">
        <v>48</v>
      </c>
      <c r="H894" s="6">
        <v>45357</v>
      </c>
      <c r="I894" s="6">
        <v>45362</v>
      </c>
      <c r="J894" s="4">
        <v>2962.99</v>
      </c>
      <c r="K894">
        <f t="shared" si="40"/>
        <v>5</v>
      </c>
      <c r="L894">
        <f t="shared" si="39"/>
        <v>69</v>
      </c>
      <c r="M894" t="str">
        <f t="shared" si="41"/>
        <v>Older Adults</v>
      </c>
    </row>
    <row r="895" spans="1:13" x14ac:dyDescent="0.25">
      <c r="A895" t="s">
        <v>1939</v>
      </c>
      <c r="B895" t="s">
        <v>1940</v>
      </c>
      <c r="C895" s="6">
        <v>39932</v>
      </c>
      <c r="D895" t="s">
        <v>27</v>
      </c>
      <c r="E895" t="s">
        <v>84</v>
      </c>
      <c r="F895" t="s">
        <v>85</v>
      </c>
      <c r="G895" t="s">
        <v>19</v>
      </c>
      <c r="H895" s="6">
        <v>45358</v>
      </c>
      <c r="I895" s="6">
        <v>45364</v>
      </c>
      <c r="J895" s="4">
        <v>2890.43</v>
      </c>
      <c r="K895">
        <f t="shared" si="40"/>
        <v>6</v>
      </c>
      <c r="L895">
        <f t="shared" si="39"/>
        <v>14</v>
      </c>
      <c r="M895" t="str">
        <f t="shared" si="41"/>
        <v>Children and Adolescent</v>
      </c>
    </row>
    <row r="896" spans="1:13" x14ac:dyDescent="0.25">
      <c r="A896" t="s">
        <v>1941</v>
      </c>
      <c r="B896" t="s">
        <v>1942</v>
      </c>
      <c r="C896" s="6">
        <v>25376</v>
      </c>
      <c r="D896" t="s">
        <v>27</v>
      </c>
      <c r="E896" t="s">
        <v>28</v>
      </c>
      <c r="F896" t="s">
        <v>29</v>
      </c>
      <c r="G896" t="s">
        <v>30</v>
      </c>
      <c r="H896" s="6">
        <v>45359</v>
      </c>
      <c r="I896" s="6">
        <v>45383</v>
      </c>
      <c r="J896" s="4">
        <v>21806.37</v>
      </c>
      <c r="K896">
        <f t="shared" si="40"/>
        <v>24</v>
      </c>
      <c r="L896">
        <f t="shared" si="39"/>
        <v>54</v>
      </c>
      <c r="M896" t="str">
        <f t="shared" si="41"/>
        <v>Adults</v>
      </c>
    </row>
    <row r="897" spans="1:13" x14ac:dyDescent="0.25">
      <c r="A897" t="s">
        <v>1943</v>
      </c>
      <c r="B897" t="s">
        <v>1944</v>
      </c>
      <c r="C897" s="6">
        <v>33576</v>
      </c>
      <c r="D897" t="s">
        <v>11</v>
      </c>
      <c r="E897" t="s">
        <v>12</v>
      </c>
      <c r="F897" t="s">
        <v>13</v>
      </c>
      <c r="G897" t="s">
        <v>14</v>
      </c>
      <c r="H897" s="6">
        <v>45360</v>
      </c>
      <c r="I897" s="6">
        <v>45380</v>
      </c>
      <c r="J897" s="4">
        <v>19235.02</v>
      </c>
      <c r="K897">
        <f t="shared" si="40"/>
        <v>20</v>
      </c>
      <c r="L897">
        <f t="shared" si="39"/>
        <v>32</v>
      </c>
      <c r="M897" t="str">
        <f t="shared" si="41"/>
        <v>Adults</v>
      </c>
    </row>
    <row r="898" spans="1:13" x14ac:dyDescent="0.25">
      <c r="A898" t="s">
        <v>1945</v>
      </c>
      <c r="B898" t="s">
        <v>1946</v>
      </c>
      <c r="C898" s="6">
        <v>34502</v>
      </c>
      <c r="D898" t="s">
        <v>11</v>
      </c>
      <c r="E898" t="s">
        <v>152</v>
      </c>
      <c r="F898" t="s">
        <v>13</v>
      </c>
      <c r="G898" t="s">
        <v>214</v>
      </c>
      <c r="H898" s="6">
        <v>45361</v>
      </c>
      <c r="I898" s="6">
        <v>45373</v>
      </c>
      <c r="J898" s="4">
        <v>19285.29</v>
      </c>
      <c r="K898">
        <f t="shared" si="40"/>
        <v>12</v>
      </c>
      <c r="L898">
        <f t="shared" ref="L898:L961" si="42">IF(C898&gt;H898,"Invalid DOB",DATEDIF(C898,H898,"Y"))</f>
        <v>29</v>
      </c>
      <c r="M898" t="str">
        <f t="shared" si="41"/>
        <v>Adults</v>
      </c>
    </row>
    <row r="899" spans="1:13" x14ac:dyDescent="0.25">
      <c r="A899" t="s">
        <v>1947</v>
      </c>
      <c r="B899" t="s">
        <v>1948</v>
      </c>
      <c r="C899" s="6">
        <v>21056</v>
      </c>
      <c r="D899" t="s">
        <v>27</v>
      </c>
      <c r="E899" t="s">
        <v>28</v>
      </c>
      <c r="F899" t="s">
        <v>29</v>
      </c>
      <c r="G899" t="s">
        <v>124</v>
      </c>
      <c r="H899" s="6">
        <v>45362</v>
      </c>
      <c r="I899" s="6">
        <v>45369</v>
      </c>
      <c r="J899" s="4">
        <v>21359.17</v>
      </c>
      <c r="K899">
        <f t="shared" ref="K899:K962" si="43">I899-H899</f>
        <v>7</v>
      </c>
      <c r="L899">
        <f t="shared" si="42"/>
        <v>66</v>
      </c>
      <c r="M899" t="str">
        <f t="shared" ref="M899:M962" si="44">IF(L899="Invalid DOB","Invalid DOB",IF(L899&lt;=4,"Early childhood",IF(L899&lt;=17,"Children and Adolescent",IF(L899&lt;=24,"Young Adults",IF(L899&lt;=59,"Adults","Older Adults")))))</f>
        <v>Older Adults</v>
      </c>
    </row>
    <row r="900" spans="1:13" x14ac:dyDescent="0.25">
      <c r="A900" t="s">
        <v>1949</v>
      </c>
      <c r="B900" t="s">
        <v>1950</v>
      </c>
      <c r="C900" s="6">
        <v>36559</v>
      </c>
      <c r="D900" t="s">
        <v>27</v>
      </c>
      <c r="E900" t="s">
        <v>362</v>
      </c>
      <c r="F900" t="s">
        <v>110</v>
      </c>
      <c r="G900" t="s">
        <v>363</v>
      </c>
      <c r="H900" s="6">
        <v>45364</v>
      </c>
      <c r="I900" s="6">
        <v>45370</v>
      </c>
      <c r="J900" s="4">
        <v>18884.98</v>
      </c>
      <c r="K900">
        <f t="shared" si="43"/>
        <v>6</v>
      </c>
      <c r="L900">
        <f t="shared" si="42"/>
        <v>24</v>
      </c>
      <c r="M900" t="str">
        <f t="shared" si="44"/>
        <v>Young Adults</v>
      </c>
    </row>
    <row r="901" spans="1:13" x14ac:dyDescent="0.25">
      <c r="A901" t="s">
        <v>1951</v>
      </c>
      <c r="B901" t="s">
        <v>1952</v>
      </c>
      <c r="C901" s="6">
        <v>29880</v>
      </c>
      <c r="D901" t="s">
        <v>11</v>
      </c>
      <c r="E901" t="s">
        <v>152</v>
      </c>
      <c r="F901" t="s">
        <v>13</v>
      </c>
      <c r="G901" t="s">
        <v>153</v>
      </c>
      <c r="H901" s="6">
        <v>45364</v>
      </c>
      <c r="I901" s="6">
        <v>45370</v>
      </c>
      <c r="J901" s="4">
        <v>9777.85</v>
      </c>
      <c r="K901">
        <f t="shared" si="43"/>
        <v>6</v>
      </c>
      <c r="L901">
        <f t="shared" si="42"/>
        <v>42</v>
      </c>
      <c r="M901" t="str">
        <f t="shared" si="44"/>
        <v>Adults</v>
      </c>
    </row>
    <row r="902" spans="1:13" x14ac:dyDescent="0.25">
      <c r="A902" t="s">
        <v>1953</v>
      </c>
      <c r="B902" t="s">
        <v>1954</v>
      </c>
      <c r="C902" s="6">
        <v>25466</v>
      </c>
      <c r="D902" t="s">
        <v>27</v>
      </c>
      <c r="E902" t="s">
        <v>142</v>
      </c>
      <c r="F902" t="s">
        <v>110</v>
      </c>
      <c r="G902" t="s">
        <v>394</v>
      </c>
      <c r="H902" s="6">
        <v>45364</v>
      </c>
      <c r="I902" s="6">
        <v>45387</v>
      </c>
      <c r="J902" s="4">
        <v>2928.45</v>
      </c>
      <c r="K902">
        <f t="shared" si="43"/>
        <v>23</v>
      </c>
      <c r="L902">
        <f t="shared" si="42"/>
        <v>54</v>
      </c>
      <c r="M902" t="str">
        <f t="shared" si="44"/>
        <v>Adults</v>
      </c>
    </row>
    <row r="903" spans="1:13" x14ac:dyDescent="0.25">
      <c r="A903" t="s">
        <v>1955</v>
      </c>
      <c r="B903" t="s">
        <v>512</v>
      </c>
      <c r="C903" s="6">
        <v>39435</v>
      </c>
      <c r="D903" t="s">
        <v>27</v>
      </c>
      <c r="E903" t="s">
        <v>33</v>
      </c>
      <c r="F903" t="s">
        <v>34</v>
      </c>
      <c r="G903" t="s">
        <v>35</v>
      </c>
      <c r="H903" s="6">
        <v>45365</v>
      </c>
      <c r="I903" s="6">
        <v>45393</v>
      </c>
      <c r="J903" s="4">
        <v>1055.42</v>
      </c>
      <c r="K903">
        <f t="shared" si="43"/>
        <v>28</v>
      </c>
      <c r="L903">
        <f t="shared" si="42"/>
        <v>16</v>
      </c>
      <c r="M903" t="str">
        <f t="shared" si="44"/>
        <v>Children and Adolescent</v>
      </c>
    </row>
    <row r="904" spans="1:13" x14ac:dyDescent="0.25">
      <c r="A904" t="s">
        <v>1956</v>
      </c>
      <c r="B904" t="s">
        <v>1957</v>
      </c>
      <c r="C904" s="6">
        <v>20585</v>
      </c>
      <c r="D904" t="s">
        <v>11</v>
      </c>
      <c r="E904" t="s">
        <v>72</v>
      </c>
      <c r="F904" t="s">
        <v>73</v>
      </c>
      <c r="G904" t="s">
        <v>74</v>
      </c>
      <c r="H904" s="6">
        <v>45367</v>
      </c>
      <c r="I904" s="6">
        <v>45381</v>
      </c>
      <c r="J904" s="4">
        <v>2385.88</v>
      </c>
      <c r="K904">
        <f t="shared" si="43"/>
        <v>14</v>
      </c>
      <c r="L904">
        <f t="shared" si="42"/>
        <v>67</v>
      </c>
      <c r="M904" t="str">
        <f t="shared" si="44"/>
        <v>Older Adults</v>
      </c>
    </row>
    <row r="905" spans="1:13" x14ac:dyDescent="0.25">
      <c r="A905" t="s">
        <v>1958</v>
      </c>
      <c r="B905" t="s">
        <v>1959</v>
      </c>
      <c r="C905" s="6">
        <v>26393</v>
      </c>
      <c r="D905" t="s">
        <v>27</v>
      </c>
      <c r="E905" t="s">
        <v>142</v>
      </c>
      <c r="F905" t="s">
        <v>114</v>
      </c>
      <c r="G905" t="s">
        <v>394</v>
      </c>
      <c r="H905" s="6">
        <v>45368</v>
      </c>
      <c r="I905" s="6">
        <v>45385</v>
      </c>
      <c r="J905" s="4">
        <v>737.09</v>
      </c>
      <c r="K905">
        <f t="shared" si="43"/>
        <v>17</v>
      </c>
      <c r="L905">
        <f t="shared" si="42"/>
        <v>51</v>
      </c>
      <c r="M905" t="str">
        <f t="shared" si="44"/>
        <v>Adults</v>
      </c>
    </row>
    <row r="906" spans="1:13" x14ac:dyDescent="0.25">
      <c r="A906" t="s">
        <v>1960</v>
      </c>
      <c r="B906" t="s">
        <v>1961</v>
      </c>
      <c r="C906" s="6">
        <v>45283</v>
      </c>
      <c r="D906" t="s">
        <v>27</v>
      </c>
      <c r="E906" t="s">
        <v>362</v>
      </c>
      <c r="F906" t="s">
        <v>799</v>
      </c>
      <c r="G906" t="s">
        <v>659</v>
      </c>
      <c r="H906" s="6">
        <v>45370</v>
      </c>
      <c r="I906" s="6">
        <v>45387</v>
      </c>
      <c r="J906" s="4">
        <v>11699.14</v>
      </c>
      <c r="K906">
        <f t="shared" si="43"/>
        <v>17</v>
      </c>
      <c r="L906">
        <f t="shared" si="42"/>
        <v>0</v>
      </c>
      <c r="M906" t="str">
        <f t="shared" si="44"/>
        <v>Early childhood</v>
      </c>
    </row>
    <row r="907" spans="1:13" x14ac:dyDescent="0.25">
      <c r="A907" t="s">
        <v>1962</v>
      </c>
      <c r="B907" t="s">
        <v>1829</v>
      </c>
      <c r="C907" s="6">
        <v>27866</v>
      </c>
      <c r="D907" t="s">
        <v>27</v>
      </c>
      <c r="E907" t="s">
        <v>38</v>
      </c>
      <c r="F907" t="s">
        <v>39</v>
      </c>
      <c r="G907" t="s">
        <v>40</v>
      </c>
      <c r="H907" s="6">
        <v>45371</v>
      </c>
      <c r="I907" s="6">
        <v>45383</v>
      </c>
      <c r="J907" s="4">
        <v>1887.36</v>
      </c>
      <c r="K907">
        <f t="shared" si="43"/>
        <v>12</v>
      </c>
      <c r="L907">
        <f t="shared" si="42"/>
        <v>47</v>
      </c>
      <c r="M907" t="str">
        <f t="shared" si="44"/>
        <v>Adults</v>
      </c>
    </row>
    <row r="908" spans="1:13" x14ac:dyDescent="0.25">
      <c r="A908" t="s">
        <v>1963</v>
      </c>
      <c r="B908" t="s">
        <v>1964</v>
      </c>
      <c r="C908" s="6">
        <v>14954</v>
      </c>
      <c r="D908" t="s">
        <v>27</v>
      </c>
      <c r="E908" t="s">
        <v>152</v>
      </c>
      <c r="F908" t="s">
        <v>13</v>
      </c>
      <c r="G908" t="s">
        <v>153</v>
      </c>
      <c r="H908" s="6">
        <v>45371</v>
      </c>
      <c r="I908" s="6">
        <v>45396</v>
      </c>
      <c r="J908" s="4">
        <v>12684.61</v>
      </c>
      <c r="K908">
        <f t="shared" si="43"/>
        <v>25</v>
      </c>
      <c r="L908">
        <f t="shared" si="42"/>
        <v>83</v>
      </c>
      <c r="M908" t="str">
        <f t="shared" si="44"/>
        <v>Older Adults</v>
      </c>
    </row>
    <row r="909" spans="1:13" x14ac:dyDescent="0.25">
      <c r="A909" t="s">
        <v>1965</v>
      </c>
      <c r="B909" t="s">
        <v>1966</v>
      </c>
      <c r="C909" s="6">
        <v>8702</v>
      </c>
      <c r="D909" t="s">
        <v>11</v>
      </c>
      <c r="E909" t="s">
        <v>28</v>
      </c>
      <c r="F909" t="s">
        <v>43</v>
      </c>
      <c r="G909" t="s">
        <v>30</v>
      </c>
      <c r="H909" s="6">
        <v>45372</v>
      </c>
      <c r="I909" s="6">
        <v>45377</v>
      </c>
      <c r="J909" s="4">
        <v>13880.93</v>
      </c>
      <c r="K909">
        <f t="shared" si="43"/>
        <v>5</v>
      </c>
      <c r="L909">
        <f t="shared" si="42"/>
        <v>100</v>
      </c>
      <c r="M909" t="str">
        <f t="shared" si="44"/>
        <v>Older Adults</v>
      </c>
    </row>
    <row r="910" spans="1:13" x14ac:dyDescent="0.25">
      <c r="A910" t="s">
        <v>1967</v>
      </c>
      <c r="B910" t="s">
        <v>1968</v>
      </c>
      <c r="C910" s="6">
        <v>11588</v>
      </c>
      <c r="D910" t="s">
        <v>11</v>
      </c>
      <c r="E910" t="s">
        <v>152</v>
      </c>
      <c r="F910" t="s">
        <v>13</v>
      </c>
      <c r="G910" t="s">
        <v>153</v>
      </c>
      <c r="H910" s="6">
        <v>45373</v>
      </c>
      <c r="I910" s="6">
        <v>45377</v>
      </c>
      <c r="J910" s="4">
        <v>19716.12</v>
      </c>
      <c r="K910">
        <f t="shared" si="43"/>
        <v>4</v>
      </c>
      <c r="L910">
        <f t="shared" si="42"/>
        <v>92</v>
      </c>
      <c r="M910" t="str">
        <f t="shared" si="44"/>
        <v>Older Adults</v>
      </c>
    </row>
    <row r="911" spans="1:13" x14ac:dyDescent="0.25">
      <c r="A911" t="s">
        <v>1969</v>
      </c>
      <c r="B911" t="s">
        <v>1970</v>
      </c>
      <c r="C911" s="6">
        <v>25311</v>
      </c>
      <c r="D911" t="s">
        <v>11</v>
      </c>
      <c r="E911" t="s">
        <v>271</v>
      </c>
      <c r="F911" t="s">
        <v>299</v>
      </c>
      <c r="G911" t="s">
        <v>313</v>
      </c>
      <c r="H911" s="6">
        <v>45373</v>
      </c>
      <c r="I911" s="6">
        <v>45389</v>
      </c>
      <c r="J911" s="4">
        <v>360.68</v>
      </c>
      <c r="K911">
        <f t="shared" si="43"/>
        <v>16</v>
      </c>
      <c r="L911">
        <f t="shared" si="42"/>
        <v>54</v>
      </c>
      <c r="M911" t="str">
        <f t="shared" si="44"/>
        <v>Adults</v>
      </c>
    </row>
    <row r="912" spans="1:13" x14ac:dyDescent="0.25">
      <c r="A912" t="s">
        <v>1971</v>
      </c>
      <c r="B912" t="s">
        <v>1972</v>
      </c>
      <c r="C912" s="6">
        <v>37271</v>
      </c>
      <c r="D912" t="s">
        <v>27</v>
      </c>
      <c r="E912" t="s">
        <v>138</v>
      </c>
      <c r="F912" t="s">
        <v>209</v>
      </c>
      <c r="G912" t="s">
        <v>143</v>
      </c>
      <c r="H912" s="6">
        <v>45375</v>
      </c>
      <c r="I912" s="6">
        <v>45377</v>
      </c>
      <c r="J912" s="4">
        <v>1742.78</v>
      </c>
      <c r="K912">
        <f t="shared" si="43"/>
        <v>2</v>
      </c>
      <c r="L912">
        <f t="shared" si="42"/>
        <v>22</v>
      </c>
      <c r="M912" t="str">
        <f t="shared" si="44"/>
        <v>Young Adults</v>
      </c>
    </row>
    <row r="913" spans="1:13" x14ac:dyDescent="0.25">
      <c r="A913" t="s">
        <v>1973</v>
      </c>
      <c r="B913" t="s">
        <v>1974</v>
      </c>
      <c r="C913" s="6">
        <v>29446</v>
      </c>
      <c r="D913" t="s">
        <v>11</v>
      </c>
      <c r="E913" t="s">
        <v>97</v>
      </c>
      <c r="F913" t="s">
        <v>98</v>
      </c>
      <c r="G913" t="s">
        <v>99</v>
      </c>
      <c r="H913" s="6">
        <v>45377</v>
      </c>
      <c r="I913" s="6">
        <v>45400</v>
      </c>
      <c r="J913" s="4">
        <v>989.71</v>
      </c>
      <c r="K913">
        <f t="shared" si="43"/>
        <v>23</v>
      </c>
      <c r="L913">
        <f t="shared" si="42"/>
        <v>43</v>
      </c>
      <c r="M913" t="str">
        <f t="shared" si="44"/>
        <v>Adults</v>
      </c>
    </row>
    <row r="914" spans="1:13" x14ac:dyDescent="0.25">
      <c r="A914" t="s">
        <v>1975</v>
      </c>
      <c r="B914" t="s">
        <v>1976</v>
      </c>
      <c r="C914" s="6">
        <v>12927</v>
      </c>
      <c r="D914" t="s">
        <v>27</v>
      </c>
      <c r="E914" t="s">
        <v>102</v>
      </c>
      <c r="F914" t="s">
        <v>103</v>
      </c>
      <c r="G914" t="s">
        <v>529</v>
      </c>
      <c r="H914" s="6">
        <v>45380</v>
      </c>
      <c r="I914" s="6">
        <v>45381</v>
      </c>
      <c r="J914" s="4">
        <v>44409.57</v>
      </c>
      <c r="K914">
        <f t="shared" si="43"/>
        <v>1</v>
      </c>
      <c r="L914">
        <f t="shared" si="42"/>
        <v>88</v>
      </c>
      <c r="M914" t="str">
        <f t="shared" si="44"/>
        <v>Older Adults</v>
      </c>
    </row>
    <row r="915" spans="1:13" x14ac:dyDescent="0.25">
      <c r="A915" t="s">
        <v>1977</v>
      </c>
      <c r="B915" t="s">
        <v>1978</v>
      </c>
      <c r="C915" s="6">
        <v>25809</v>
      </c>
      <c r="D915" t="s">
        <v>27</v>
      </c>
      <c r="E915" t="s">
        <v>38</v>
      </c>
      <c r="F915" t="s">
        <v>13</v>
      </c>
      <c r="G915" t="s">
        <v>117</v>
      </c>
      <c r="H915" s="6">
        <v>45380</v>
      </c>
      <c r="I915" s="6">
        <v>45384</v>
      </c>
      <c r="J915" s="4">
        <v>3114.85</v>
      </c>
      <c r="K915">
        <f t="shared" si="43"/>
        <v>4</v>
      </c>
      <c r="L915">
        <f t="shared" si="42"/>
        <v>53</v>
      </c>
      <c r="M915" t="str">
        <f t="shared" si="44"/>
        <v>Adults</v>
      </c>
    </row>
    <row r="916" spans="1:13" x14ac:dyDescent="0.25">
      <c r="A916" t="s">
        <v>1979</v>
      </c>
      <c r="B916" t="s">
        <v>1980</v>
      </c>
      <c r="C916" s="6">
        <v>44441</v>
      </c>
      <c r="D916" t="s">
        <v>11</v>
      </c>
      <c r="E916" t="s">
        <v>142</v>
      </c>
      <c r="F916" t="s">
        <v>110</v>
      </c>
      <c r="G916" t="s">
        <v>394</v>
      </c>
      <c r="H916" s="6">
        <v>45381</v>
      </c>
      <c r="I916" s="6">
        <v>45396</v>
      </c>
      <c r="J916" s="4">
        <v>2584.81</v>
      </c>
      <c r="K916">
        <f t="shared" si="43"/>
        <v>15</v>
      </c>
      <c r="L916">
        <f t="shared" si="42"/>
        <v>2</v>
      </c>
      <c r="M916" t="str">
        <f t="shared" si="44"/>
        <v>Early childhood</v>
      </c>
    </row>
    <row r="917" spans="1:13" x14ac:dyDescent="0.25">
      <c r="A917" t="s">
        <v>1981</v>
      </c>
      <c r="B917" t="s">
        <v>1982</v>
      </c>
      <c r="C917" s="6">
        <v>22451</v>
      </c>
      <c r="D917" t="s">
        <v>27</v>
      </c>
      <c r="E917" t="s">
        <v>22</v>
      </c>
      <c r="F917" t="s">
        <v>23</v>
      </c>
      <c r="G917" t="s">
        <v>107</v>
      </c>
      <c r="H917" s="6">
        <v>45382</v>
      </c>
      <c r="I917" s="6">
        <v>45407</v>
      </c>
      <c r="J917" s="4">
        <v>1296.31</v>
      </c>
      <c r="K917">
        <f t="shared" si="43"/>
        <v>25</v>
      </c>
      <c r="L917">
        <f t="shared" si="42"/>
        <v>62</v>
      </c>
      <c r="M917" t="str">
        <f t="shared" si="44"/>
        <v>Older Adults</v>
      </c>
    </row>
    <row r="918" spans="1:13" x14ac:dyDescent="0.25">
      <c r="A918" t="s">
        <v>1983</v>
      </c>
      <c r="B918" t="s">
        <v>1984</v>
      </c>
      <c r="C918" s="6">
        <v>36896</v>
      </c>
      <c r="D918" t="s">
        <v>27</v>
      </c>
      <c r="E918" t="s">
        <v>302</v>
      </c>
      <c r="F918" t="s">
        <v>13</v>
      </c>
      <c r="G918" t="s">
        <v>408</v>
      </c>
      <c r="H918" s="6">
        <v>45385</v>
      </c>
      <c r="I918" s="6">
        <v>45396</v>
      </c>
      <c r="J918" s="4">
        <v>8742.0400000000009</v>
      </c>
      <c r="K918">
        <f t="shared" si="43"/>
        <v>11</v>
      </c>
      <c r="L918">
        <f t="shared" si="42"/>
        <v>23</v>
      </c>
      <c r="M918" t="str">
        <f t="shared" si="44"/>
        <v>Young Adults</v>
      </c>
    </row>
    <row r="919" spans="1:13" x14ac:dyDescent="0.25">
      <c r="A919" t="s">
        <v>1985</v>
      </c>
      <c r="B919" t="s">
        <v>1986</v>
      </c>
      <c r="C919" s="6">
        <v>37124</v>
      </c>
      <c r="D919" t="s">
        <v>27</v>
      </c>
      <c r="E919" t="s">
        <v>127</v>
      </c>
      <c r="F919" t="s">
        <v>509</v>
      </c>
      <c r="G919" t="s">
        <v>157</v>
      </c>
      <c r="H919" s="6">
        <v>45387</v>
      </c>
      <c r="I919" s="6">
        <v>45392</v>
      </c>
      <c r="J919" s="4">
        <v>2517.13</v>
      </c>
      <c r="K919">
        <f t="shared" si="43"/>
        <v>5</v>
      </c>
      <c r="L919">
        <f t="shared" si="42"/>
        <v>22</v>
      </c>
      <c r="M919" t="str">
        <f t="shared" si="44"/>
        <v>Young Adults</v>
      </c>
    </row>
    <row r="920" spans="1:13" x14ac:dyDescent="0.25">
      <c r="A920" t="s">
        <v>1987</v>
      </c>
      <c r="B920" t="s">
        <v>1988</v>
      </c>
      <c r="C920" s="6">
        <v>10489</v>
      </c>
      <c r="D920" t="s">
        <v>11</v>
      </c>
      <c r="E920" t="s">
        <v>120</v>
      </c>
      <c r="F920" t="s">
        <v>114</v>
      </c>
      <c r="G920" t="s">
        <v>515</v>
      </c>
      <c r="H920" s="6">
        <v>45387</v>
      </c>
      <c r="I920" s="6">
        <v>45410</v>
      </c>
      <c r="J920" s="4">
        <v>913.97</v>
      </c>
      <c r="K920">
        <f t="shared" si="43"/>
        <v>23</v>
      </c>
      <c r="L920">
        <f t="shared" si="42"/>
        <v>95</v>
      </c>
      <c r="M920" t="str">
        <f t="shared" si="44"/>
        <v>Older Adults</v>
      </c>
    </row>
    <row r="921" spans="1:13" x14ac:dyDescent="0.25">
      <c r="A921" t="s">
        <v>1989</v>
      </c>
      <c r="B921" t="s">
        <v>1990</v>
      </c>
      <c r="C921" s="6">
        <v>26228</v>
      </c>
      <c r="D921" t="s">
        <v>11</v>
      </c>
      <c r="E921" t="s">
        <v>163</v>
      </c>
      <c r="F921" t="s">
        <v>164</v>
      </c>
      <c r="G921" t="s">
        <v>165</v>
      </c>
      <c r="H921" s="6">
        <v>45387</v>
      </c>
      <c r="I921" s="6">
        <v>45410</v>
      </c>
      <c r="J921" s="4">
        <v>19409.7</v>
      </c>
      <c r="K921">
        <f t="shared" si="43"/>
        <v>23</v>
      </c>
      <c r="L921">
        <f t="shared" si="42"/>
        <v>52</v>
      </c>
      <c r="M921" t="str">
        <f t="shared" si="44"/>
        <v>Adults</v>
      </c>
    </row>
    <row r="922" spans="1:13" x14ac:dyDescent="0.25">
      <c r="A922" t="s">
        <v>1991</v>
      </c>
      <c r="B922" t="s">
        <v>1992</v>
      </c>
      <c r="C922" s="6">
        <v>19904</v>
      </c>
      <c r="D922" t="s">
        <v>11</v>
      </c>
      <c r="E922" t="s">
        <v>17</v>
      </c>
      <c r="F922" t="s">
        <v>34</v>
      </c>
      <c r="G922" t="s">
        <v>19</v>
      </c>
      <c r="H922" s="6">
        <v>45388</v>
      </c>
      <c r="I922" s="6">
        <v>45393</v>
      </c>
      <c r="J922" s="4">
        <v>2731.56</v>
      </c>
      <c r="K922">
        <f t="shared" si="43"/>
        <v>5</v>
      </c>
      <c r="L922">
        <f t="shared" si="42"/>
        <v>69</v>
      </c>
      <c r="M922" t="str">
        <f t="shared" si="44"/>
        <v>Older Adults</v>
      </c>
    </row>
    <row r="923" spans="1:13" x14ac:dyDescent="0.25">
      <c r="A923" t="s">
        <v>1993</v>
      </c>
      <c r="B923" t="s">
        <v>1994</v>
      </c>
      <c r="C923" s="6">
        <v>13629</v>
      </c>
      <c r="D923" t="s">
        <v>11</v>
      </c>
      <c r="E923" t="s">
        <v>271</v>
      </c>
      <c r="F923" t="s">
        <v>272</v>
      </c>
      <c r="G923" t="s">
        <v>313</v>
      </c>
      <c r="H923" s="6">
        <v>45391</v>
      </c>
      <c r="I923" s="6">
        <v>45403</v>
      </c>
      <c r="J923" s="4">
        <v>730.41</v>
      </c>
      <c r="K923">
        <f t="shared" si="43"/>
        <v>12</v>
      </c>
      <c r="L923">
        <f t="shared" si="42"/>
        <v>86</v>
      </c>
      <c r="M923" t="str">
        <f t="shared" si="44"/>
        <v>Older Adults</v>
      </c>
    </row>
    <row r="924" spans="1:13" x14ac:dyDescent="0.25">
      <c r="A924" t="s">
        <v>1995</v>
      </c>
      <c r="B924" t="s">
        <v>1996</v>
      </c>
      <c r="C924" s="6">
        <v>20440</v>
      </c>
      <c r="D924" t="s">
        <v>11</v>
      </c>
      <c r="E924" t="s">
        <v>38</v>
      </c>
      <c r="F924" t="s">
        <v>39</v>
      </c>
      <c r="G924" t="s">
        <v>40</v>
      </c>
      <c r="H924" s="6">
        <v>45392</v>
      </c>
      <c r="I924" s="6">
        <v>45394</v>
      </c>
      <c r="J924" s="4">
        <v>3686.05</v>
      </c>
      <c r="K924">
        <f t="shared" si="43"/>
        <v>2</v>
      </c>
      <c r="L924">
        <f t="shared" si="42"/>
        <v>68</v>
      </c>
      <c r="M924" t="str">
        <f t="shared" si="44"/>
        <v>Older Adults</v>
      </c>
    </row>
    <row r="925" spans="1:13" x14ac:dyDescent="0.25">
      <c r="A925" t="s">
        <v>1997</v>
      </c>
      <c r="B925" t="s">
        <v>1998</v>
      </c>
      <c r="C925" s="6">
        <v>44408</v>
      </c>
      <c r="D925" t="s">
        <v>11</v>
      </c>
      <c r="E925" t="s">
        <v>152</v>
      </c>
      <c r="F925" t="s">
        <v>56</v>
      </c>
      <c r="G925" t="s">
        <v>214</v>
      </c>
      <c r="H925" s="6">
        <v>45392</v>
      </c>
      <c r="I925" s="6">
        <v>45393</v>
      </c>
      <c r="J925" s="4">
        <v>13666.77</v>
      </c>
      <c r="K925">
        <f t="shared" si="43"/>
        <v>1</v>
      </c>
      <c r="L925">
        <f t="shared" si="42"/>
        <v>2</v>
      </c>
      <c r="M925" t="str">
        <f t="shared" si="44"/>
        <v>Early childhood</v>
      </c>
    </row>
    <row r="926" spans="1:13" x14ac:dyDescent="0.25">
      <c r="A926" t="s">
        <v>1999</v>
      </c>
      <c r="B926" t="s">
        <v>2000</v>
      </c>
      <c r="C926" s="6">
        <v>42918</v>
      </c>
      <c r="D926" t="s">
        <v>11</v>
      </c>
      <c r="E926" t="s">
        <v>80</v>
      </c>
      <c r="F926" t="s">
        <v>13</v>
      </c>
      <c r="G926" t="s">
        <v>444</v>
      </c>
      <c r="H926" s="6">
        <v>45394</v>
      </c>
      <c r="I926" s="6">
        <v>45404</v>
      </c>
      <c r="J926" s="4">
        <v>18953.7</v>
      </c>
      <c r="K926">
        <f t="shared" si="43"/>
        <v>10</v>
      </c>
      <c r="L926">
        <f t="shared" si="42"/>
        <v>6</v>
      </c>
      <c r="M926" t="str">
        <f t="shared" si="44"/>
        <v>Children and Adolescent</v>
      </c>
    </row>
    <row r="927" spans="1:13" x14ac:dyDescent="0.25">
      <c r="A927" t="s">
        <v>2001</v>
      </c>
      <c r="B927" t="s">
        <v>2002</v>
      </c>
      <c r="C927" s="6">
        <v>11073</v>
      </c>
      <c r="D927" t="s">
        <v>27</v>
      </c>
      <c r="E927" t="s">
        <v>55</v>
      </c>
      <c r="F927" t="s">
        <v>56</v>
      </c>
      <c r="G927" t="s">
        <v>228</v>
      </c>
      <c r="H927" s="6">
        <v>45394</v>
      </c>
      <c r="I927" s="6">
        <v>45404</v>
      </c>
      <c r="J927" s="4">
        <v>3374.54</v>
      </c>
      <c r="K927">
        <f t="shared" si="43"/>
        <v>10</v>
      </c>
      <c r="L927">
        <f t="shared" si="42"/>
        <v>93</v>
      </c>
      <c r="M927" t="str">
        <f t="shared" si="44"/>
        <v>Older Adults</v>
      </c>
    </row>
    <row r="928" spans="1:13" x14ac:dyDescent="0.25">
      <c r="A928" t="s">
        <v>2003</v>
      </c>
      <c r="B928" t="s">
        <v>2004</v>
      </c>
      <c r="C928" s="6">
        <v>30508</v>
      </c>
      <c r="D928" t="s">
        <v>27</v>
      </c>
      <c r="E928" t="s">
        <v>38</v>
      </c>
      <c r="F928" t="s">
        <v>39</v>
      </c>
      <c r="G928" t="s">
        <v>40</v>
      </c>
      <c r="H928" s="6">
        <v>45396</v>
      </c>
      <c r="I928" s="6">
        <v>45408</v>
      </c>
      <c r="J928" s="4">
        <v>4107.13</v>
      </c>
      <c r="K928">
        <f t="shared" si="43"/>
        <v>12</v>
      </c>
      <c r="L928">
        <f t="shared" si="42"/>
        <v>40</v>
      </c>
      <c r="M928" t="str">
        <f t="shared" si="44"/>
        <v>Adults</v>
      </c>
    </row>
    <row r="929" spans="1:13" x14ac:dyDescent="0.25">
      <c r="A929" t="s">
        <v>2005</v>
      </c>
      <c r="B929" t="s">
        <v>2006</v>
      </c>
      <c r="C929" s="6">
        <v>17492</v>
      </c>
      <c r="D929" t="s">
        <v>11</v>
      </c>
      <c r="E929" t="s">
        <v>47</v>
      </c>
      <c r="F929" t="s">
        <v>340</v>
      </c>
      <c r="G929" t="s">
        <v>243</v>
      </c>
      <c r="H929" s="6">
        <v>45398</v>
      </c>
      <c r="I929" s="6">
        <v>45411</v>
      </c>
      <c r="J929" s="4">
        <v>8168.12</v>
      </c>
      <c r="K929">
        <f t="shared" si="43"/>
        <v>13</v>
      </c>
      <c r="L929">
        <f t="shared" si="42"/>
        <v>76</v>
      </c>
      <c r="M929" t="str">
        <f t="shared" si="44"/>
        <v>Older Adults</v>
      </c>
    </row>
    <row r="930" spans="1:13" x14ac:dyDescent="0.25">
      <c r="A930" t="s">
        <v>2007</v>
      </c>
      <c r="B930" t="s">
        <v>2008</v>
      </c>
      <c r="C930" s="6">
        <v>16783</v>
      </c>
      <c r="D930" t="s">
        <v>11</v>
      </c>
      <c r="E930" t="s">
        <v>28</v>
      </c>
      <c r="F930" t="s">
        <v>29</v>
      </c>
      <c r="G930" t="s">
        <v>124</v>
      </c>
      <c r="H930" s="6">
        <v>45399</v>
      </c>
      <c r="I930" s="6">
        <v>45410</v>
      </c>
      <c r="J930" s="4">
        <v>12321.99</v>
      </c>
      <c r="K930">
        <f t="shared" si="43"/>
        <v>11</v>
      </c>
      <c r="L930">
        <f t="shared" si="42"/>
        <v>78</v>
      </c>
      <c r="M930" t="str">
        <f t="shared" si="44"/>
        <v>Older Adults</v>
      </c>
    </row>
    <row r="931" spans="1:13" x14ac:dyDescent="0.25">
      <c r="A931" s="1" t="s">
        <v>2009</v>
      </c>
      <c r="B931" t="s">
        <v>2010</v>
      </c>
      <c r="C931" s="6">
        <v>28703</v>
      </c>
      <c r="D931" t="s">
        <v>11</v>
      </c>
      <c r="E931" t="s">
        <v>84</v>
      </c>
      <c r="F931" t="s">
        <v>85</v>
      </c>
      <c r="G931" t="s">
        <v>19</v>
      </c>
      <c r="H931" s="6">
        <v>45400</v>
      </c>
      <c r="I931" s="6">
        <v>45406</v>
      </c>
      <c r="J931" s="4">
        <v>2425.0500000000002</v>
      </c>
      <c r="K931">
        <f t="shared" si="43"/>
        <v>6</v>
      </c>
      <c r="L931">
        <f t="shared" si="42"/>
        <v>45</v>
      </c>
      <c r="M931" t="str">
        <f t="shared" si="44"/>
        <v>Adults</v>
      </c>
    </row>
    <row r="932" spans="1:13" x14ac:dyDescent="0.25">
      <c r="A932" t="s">
        <v>2011</v>
      </c>
      <c r="B932" t="s">
        <v>2012</v>
      </c>
      <c r="C932" s="6">
        <v>37237</v>
      </c>
      <c r="D932" t="s">
        <v>27</v>
      </c>
      <c r="E932" t="s">
        <v>271</v>
      </c>
      <c r="F932" t="s">
        <v>299</v>
      </c>
      <c r="G932" t="s">
        <v>273</v>
      </c>
      <c r="H932" s="6">
        <v>45400</v>
      </c>
      <c r="I932" s="6">
        <v>45418</v>
      </c>
      <c r="J932" s="4">
        <v>547.52</v>
      </c>
      <c r="K932">
        <f t="shared" si="43"/>
        <v>18</v>
      </c>
      <c r="L932">
        <f t="shared" si="42"/>
        <v>22</v>
      </c>
      <c r="M932" t="str">
        <f t="shared" si="44"/>
        <v>Young Adults</v>
      </c>
    </row>
    <row r="933" spans="1:13" x14ac:dyDescent="0.25">
      <c r="A933" t="s">
        <v>2013</v>
      </c>
      <c r="B933" t="s">
        <v>2014</v>
      </c>
      <c r="C933" s="6">
        <v>28428</v>
      </c>
      <c r="D933" t="s">
        <v>27</v>
      </c>
      <c r="E933" t="s">
        <v>17</v>
      </c>
      <c r="F933" t="s">
        <v>34</v>
      </c>
      <c r="G933" t="s">
        <v>318</v>
      </c>
      <c r="H933" s="6">
        <v>45401</v>
      </c>
      <c r="I933" s="6">
        <v>45418</v>
      </c>
      <c r="J933" s="4">
        <v>521.58000000000004</v>
      </c>
      <c r="K933">
        <f t="shared" si="43"/>
        <v>17</v>
      </c>
      <c r="L933">
        <f t="shared" si="42"/>
        <v>46</v>
      </c>
      <c r="M933" t="str">
        <f t="shared" si="44"/>
        <v>Adults</v>
      </c>
    </row>
    <row r="934" spans="1:13" x14ac:dyDescent="0.25">
      <c r="A934" t="s">
        <v>2015</v>
      </c>
      <c r="B934" t="s">
        <v>2016</v>
      </c>
      <c r="C934" s="6">
        <v>14274</v>
      </c>
      <c r="D934" t="s">
        <v>27</v>
      </c>
      <c r="E934" t="s">
        <v>55</v>
      </c>
      <c r="F934" t="s">
        <v>217</v>
      </c>
      <c r="G934" t="s">
        <v>218</v>
      </c>
      <c r="H934" s="6">
        <v>45401</v>
      </c>
      <c r="I934" s="6">
        <v>45418</v>
      </c>
      <c r="J934" s="4">
        <v>2538.9699999999998</v>
      </c>
      <c r="K934">
        <f t="shared" si="43"/>
        <v>17</v>
      </c>
      <c r="L934">
        <f t="shared" si="42"/>
        <v>85</v>
      </c>
      <c r="M934" t="str">
        <f t="shared" si="44"/>
        <v>Older Adults</v>
      </c>
    </row>
    <row r="935" spans="1:13" x14ac:dyDescent="0.25">
      <c r="A935" t="s">
        <v>2017</v>
      </c>
      <c r="B935" t="s">
        <v>2018</v>
      </c>
      <c r="C935" s="6">
        <v>23998</v>
      </c>
      <c r="D935" t="s">
        <v>11</v>
      </c>
      <c r="E935" t="s">
        <v>51</v>
      </c>
      <c r="F935" t="s">
        <v>29</v>
      </c>
      <c r="G935" t="s">
        <v>52</v>
      </c>
      <c r="H935" s="6">
        <v>45403</v>
      </c>
      <c r="I935" s="6">
        <v>45417</v>
      </c>
      <c r="J935" s="4">
        <v>8686.44</v>
      </c>
      <c r="K935">
        <f t="shared" si="43"/>
        <v>14</v>
      </c>
      <c r="L935">
        <f t="shared" si="42"/>
        <v>58</v>
      </c>
      <c r="M935" t="str">
        <f t="shared" si="44"/>
        <v>Adults</v>
      </c>
    </row>
    <row r="936" spans="1:13" x14ac:dyDescent="0.25">
      <c r="A936" t="s">
        <v>2019</v>
      </c>
      <c r="B936" t="s">
        <v>1845</v>
      </c>
      <c r="C936" s="6">
        <v>8708</v>
      </c>
      <c r="D936" t="s">
        <v>11</v>
      </c>
      <c r="E936" t="s">
        <v>80</v>
      </c>
      <c r="F936" t="s">
        <v>13</v>
      </c>
      <c r="G936" t="s">
        <v>578</v>
      </c>
      <c r="H936" s="6">
        <v>45403</v>
      </c>
      <c r="I936" s="6">
        <v>45420</v>
      </c>
      <c r="J936" s="4">
        <v>16901.59</v>
      </c>
      <c r="K936">
        <f t="shared" si="43"/>
        <v>17</v>
      </c>
      <c r="L936">
        <f t="shared" si="42"/>
        <v>100</v>
      </c>
      <c r="M936" t="str">
        <f t="shared" si="44"/>
        <v>Older Adults</v>
      </c>
    </row>
    <row r="937" spans="1:13" x14ac:dyDescent="0.25">
      <c r="A937" t="s">
        <v>2020</v>
      </c>
      <c r="B937" t="s">
        <v>2021</v>
      </c>
      <c r="C937" s="6">
        <v>25877</v>
      </c>
      <c r="D937" t="s">
        <v>27</v>
      </c>
      <c r="E937" t="s">
        <v>22</v>
      </c>
      <c r="F937" t="s">
        <v>23</v>
      </c>
      <c r="G937" t="s">
        <v>111</v>
      </c>
      <c r="H937" s="6">
        <v>45403</v>
      </c>
      <c r="I937" s="6">
        <v>45425</v>
      </c>
      <c r="J937" s="4">
        <v>2711.92</v>
      </c>
      <c r="K937">
        <f t="shared" si="43"/>
        <v>22</v>
      </c>
      <c r="L937">
        <f t="shared" si="42"/>
        <v>53</v>
      </c>
      <c r="M937" t="str">
        <f t="shared" si="44"/>
        <v>Adults</v>
      </c>
    </row>
    <row r="938" spans="1:13" x14ac:dyDescent="0.25">
      <c r="A938" t="s">
        <v>2022</v>
      </c>
      <c r="B938" t="s">
        <v>2023</v>
      </c>
      <c r="C938" s="6">
        <v>15306</v>
      </c>
      <c r="D938" t="s">
        <v>27</v>
      </c>
      <c r="E938" t="s">
        <v>152</v>
      </c>
      <c r="F938" t="s">
        <v>13</v>
      </c>
      <c r="G938" t="s">
        <v>195</v>
      </c>
      <c r="H938" s="6">
        <v>45404</v>
      </c>
      <c r="I938" s="6">
        <v>45410</v>
      </c>
      <c r="J938" s="4">
        <v>8311.6200000000008</v>
      </c>
      <c r="K938">
        <f t="shared" si="43"/>
        <v>6</v>
      </c>
      <c r="L938">
        <f t="shared" si="42"/>
        <v>82</v>
      </c>
      <c r="M938" t="str">
        <f t="shared" si="44"/>
        <v>Older Adults</v>
      </c>
    </row>
    <row r="939" spans="1:13" x14ac:dyDescent="0.25">
      <c r="A939" t="s">
        <v>2024</v>
      </c>
      <c r="B939" t="s">
        <v>2025</v>
      </c>
      <c r="C939" s="6">
        <v>38110</v>
      </c>
      <c r="D939" t="s">
        <v>27</v>
      </c>
      <c r="E939" t="s">
        <v>302</v>
      </c>
      <c r="F939" t="s">
        <v>29</v>
      </c>
      <c r="G939" t="s">
        <v>408</v>
      </c>
      <c r="H939" s="6">
        <v>45405</v>
      </c>
      <c r="I939" s="6">
        <v>45421</v>
      </c>
      <c r="J939" s="4">
        <v>11033.94</v>
      </c>
      <c r="K939">
        <f t="shared" si="43"/>
        <v>16</v>
      </c>
      <c r="L939">
        <f t="shared" si="42"/>
        <v>19</v>
      </c>
      <c r="M939" t="str">
        <f t="shared" si="44"/>
        <v>Young Adults</v>
      </c>
    </row>
    <row r="940" spans="1:13" x14ac:dyDescent="0.25">
      <c r="A940" t="s">
        <v>2026</v>
      </c>
      <c r="B940" t="s">
        <v>2027</v>
      </c>
      <c r="C940" s="6">
        <v>21651</v>
      </c>
      <c r="D940" t="s">
        <v>11</v>
      </c>
      <c r="E940" t="s">
        <v>80</v>
      </c>
      <c r="F940" t="s">
        <v>29</v>
      </c>
      <c r="G940" t="s">
        <v>81</v>
      </c>
      <c r="H940" s="6">
        <v>45406</v>
      </c>
      <c r="I940" s="6">
        <v>45429</v>
      </c>
      <c r="J940" s="4">
        <v>6890.14</v>
      </c>
      <c r="K940">
        <f t="shared" si="43"/>
        <v>23</v>
      </c>
      <c r="L940">
        <f t="shared" si="42"/>
        <v>65</v>
      </c>
      <c r="M940" t="str">
        <f t="shared" si="44"/>
        <v>Older Adults</v>
      </c>
    </row>
    <row r="941" spans="1:13" x14ac:dyDescent="0.25">
      <c r="A941" t="s">
        <v>2028</v>
      </c>
      <c r="B941" t="s">
        <v>2029</v>
      </c>
      <c r="C941" s="6">
        <v>35114</v>
      </c>
      <c r="D941" t="s">
        <v>11</v>
      </c>
      <c r="E941" t="s">
        <v>47</v>
      </c>
      <c r="F941" t="s">
        <v>340</v>
      </c>
      <c r="G941" t="s">
        <v>243</v>
      </c>
      <c r="H941" s="6">
        <v>45411</v>
      </c>
      <c r="I941" s="6">
        <v>45420</v>
      </c>
      <c r="J941" s="4">
        <v>5656.22</v>
      </c>
      <c r="K941">
        <f t="shared" si="43"/>
        <v>9</v>
      </c>
      <c r="L941">
        <f t="shared" si="42"/>
        <v>28</v>
      </c>
      <c r="M941" t="str">
        <f t="shared" si="44"/>
        <v>Adults</v>
      </c>
    </row>
    <row r="942" spans="1:13" x14ac:dyDescent="0.25">
      <c r="A942" t="s">
        <v>2030</v>
      </c>
      <c r="B942" t="s">
        <v>2031</v>
      </c>
      <c r="C942" s="6">
        <v>38697</v>
      </c>
      <c r="D942" t="s">
        <v>27</v>
      </c>
      <c r="E942" t="s">
        <v>187</v>
      </c>
      <c r="F942" t="s">
        <v>188</v>
      </c>
      <c r="G942" t="s">
        <v>353</v>
      </c>
      <c r="H942" s="6">
        <v>45412</v>
      </c>
      <c r="I942" s="6">
        <v>45426</v>
      </c>
      <c r="J942" s="4">
        <v>7630.11</v>
      </c>
      <c r="K942">
        <f t="shared" si="43"/>
        <v>14</v>
      </c>
      <c r="L942">
        <f t="shared" si="42"/>
        <v>18</v>
      </c>
      <c r="M942" t="str">
        <f t="shared" si="44"/>
        <v>Young Adults</v>
      </c>
    </row>
    <row r="943" spans="1:13" x14ac:dyDescent="0.25">
      <c r="A943" t="s">
        <v>2032</v>
      </c>
      <c r="B943" t="s">
        <v>2033</v>
      </c>
      <c r="C943" s="6">
        <v>33688</v>
      </c>
      <c r="D943" t="s">
        <v>27</v>
      </c>
      <c r="E943" t="s">
        <v>281</v>
      </c>
      <c r="F943" t="s">
        <v>13</v>
      </c>
      <c r="G943" t="s">
        <v>616</v>
      </c>
      <c r="H943" s="6">
        <v>45414</v>
      </c>
      <c r="I943" s="6">
        <v>45425</v>
      </c>
      <c r="J943" s="4">
        <v>31097.55</v>
      </c>
      <c r="K943">
        <f t="shared" si="43"/>
        <v>11</v>
      </c>
      <c r="L943">
        <f t="shared" si="42"/>
        <v>32</v>
      </c>
      <c r="M943" t="str">
        <f t="shared" si="44"/>
        <v>Adults</v>
      </c>
    </row>
    <row r="944" spans="1:13" x14ac:dyDescent="0.25">
      <c r="A944" t="s">
        <v>2034</v>
      </c>
      <c r="B944" t="s">
        <v>2035</v>
      </c>
      <c r="C944" s="6">
        <v>32587</v>
      </c>
      <c r="D944" t="s">
        <v>27</v>
      </c>
      <c r="E944" t="s">
        <v>80</v>
      </c>
      <c r="F944" t="s">
        <v>29</v>
      </c>
      <c r="G944" t="s">
        <v>444</v>
      </c>
      <c r="H944" s="6">
        <v>45414</v>
      </c>
      <c r="I944" s="6">
        <v>45433</v>
      </c>
      <c r="J944" s="4">
        <v>7151.35</v>
      </c>
      <c r="K944">
        <f t="shared" si="43"/>
        <v>19</v>
      </c>
      <c r="L944">
        <f t="shared" si="42"/>
        <v>35</v>
      </c>
      <c r="M944" t="str">
        <f t="shared" si="44"/>
        <v>Adults</v>
      </c>
    </row>
    <row r="945" spans="1:13" x14ac:dyDescent="0.25">
      <c r="A945" t="s">
        <v>2036</v>
      </c>
      <c r="B945" t="s">
        <v>2037</v>
      </c>
      <c r="C945" s="6">
        <v>26562</v>
      </c>
      <c r="D945" t="s">
        <v>27</v>
      </c>
      <c r="E945" t="s">
        <v>60</v>
      </c>
      <c r="F945" t="s">
        <v>88</v>
      </c>
      <c r="G945" t="s">
        <v>62</v>
      </c>
      <c r="H945" s="6">
        <v>45415</v>
      </c>
      <c r="I945" s="6">
        <v>45419</v>
      </c>
      <c r="J945" s="4">
        <v>25362.31</v>
      </c>
      <c r="K945">
        <f t="shared" si="43"/>
        <v>4</v>
      </c>
      <c r="L945">
        <f t="shared" si="42"/>
        <v>51</v>
      </c>
      <c r="M945" t="str">
        <f t="shared" si="44"/>
        <v>Adults</v>
      </c>
    </row>
    <row r="946" spans="1:13" x14ac:dyDescent="0.25">
      <c r="A946" t="s">
        <v>2038</v>
      </c>
      <c r="B946" t="s">
        <v>2039</v>
      </c>
      <c r="C946" s="6">
        <v>33203</v>
      </c>
      <c r="D946" t="s">
        <v>11</v>
      </c>
      <c r="E946" t="s">
        <v>142</v>
      </c>
      <c r="F946" t="s">
        <v>110</v>
      </c>
      <c r="G946" t="s">
        <v>394</v>
      </c>
      <c r="H946" s="6">
        <v>45415</v>
      </c>
      <c r="I946" s="6">
        <v>45428</v>
      </c>
      <c r="J946" s="4">
        <v>1072.33</v>
      </c>
      <c r="K946">
        <f t="shared" si="43"/>
        <v>13</v>
      </c>
      <c r="L946">
        <f t="shared" si="42"/>
        <v>33</v>
      </c>
      <c r="M946" t="str">
        <f t="shared" si="44"/>
        <v>Adults</v>
      </c>
    </row>
    <row r="947" spans="1:13" x14ac:dyDescent="0.25">
      <c r="A947" t="s">
        <v>2040</v>
      </c>
      <c r="B947" t="s">
        <v>2041</v>
      </c>
      <c r="C947" s="6">
        <v>40152</v>
      </c>
      <c r="D947" t="s">
        <v>27</v>
      </c>
      <c r="E947" t="s">
        <v>281</v>
      </c>
      <c r="F947" t="s">
        <v>13</v>
      </c>
      <c r="G947" t="s">
        <v>437</v>
      </c>
      <c r="H947" s="6">
        <v>45415</v>
      </c>
      <c r="I947" s="6">
        <v>45423</v>
      </c>
      <c r="J947" s="4">
        <v>48269.72</v>
      </c>
      <c r="K947">
        <f t="shared" si="43"/>
        <v>8</v>
      </c>
      <c r="L947">
        <f t="shared" si="42"/>
        <v>14</v>
      </c>
      <c r="M947" t="str">
        <f t="shared" si="44"/>
        <v>Children and Adolescent</v>
      </c>
    </row>
    <row r="948" spans="1:13" x14ac:dyDescent="0.25">
      <c r="A948" t="s">
        <v>2042</v>
      </c>
      <c r="B948" t="s">
        <v>2043</v>
      </c>
      <c r="C948" s="6">
        <v>32420</v>
      </c>
      <c r="D948" t="s">
        <v>27</v>
      </c>
      <c r="E948" t="s">
        <v>28</v>
      </c>
      <c r="F948" t="s">
        <v>43</v>
      </c>
      <c r="G948" t="s">
        <v>124</v>
      </c>
      <c r="H948" s="6">
        <v>45416</v>
      </c>
      <c r="I948" s="6">
        <v>45419</v>
      </c>
      <c r="J948" s="4">
        <v>14652.14</v>
      </c>
      <c r="K948">
        <f t="shared" si="43"/>
        <v>3</v>
      </c>
      <c r="L948">
        <f t="shared" si="42"/>
        <v>35</v>
      </c>
      <c r="M948" t="str">
        <f t="shared" si="44"/>
        <v>Adults</v>
      </c>
    </row>
    <row r="949" spans="1:13" x14ac:dyDescent="0.25">
      <c r="A949" t="s">
        <v>2044</v>
      </c>
      <c r="B949" t="s">
        <v>2045</v>
      </c>
      <c r="C949" s="6">
        <v>40403</v>
      </c>
      <c r="D949" t="s">
        <v>27</v>
      </c>
      <c r="E949" t="s">
        <v>178</v>
      </c>
      <c r="F949" t="s">
        <v>433</v>
      </c>
      <c r="G949" t="s">
        <v>545</v>
      </c>
      <c r="H949" s="6">
        <v>45416</v>
      </c>
      <c r="I949" s="6">
        <v>45445</v>
      </c>
      <c r="J949" s="4">
        <v>2128.3000000000002</v>
      </c>
      <c r="K949">
        <f t="shared" si="43"/>
        <v>29</v>
      </c>
      <c r="L949">
        <f t="shared" si="42"/>
        <v>13</v>
      </c>
      <c r="M949" t="str">
        <f t="shared" si="44"/>
        <v>Children and Adolescent</v>
      </c>
    </row>
    <row r="950" spans="1:13" x14ac:dyDescent="0.25">
      <c r="A950" t="s">
        <v>2046</v>
      </c>
      <c r="B950" t="s">
        <v>2047</v>
      </c>
      <c r="C950" s="6">
        <v>32998</v>
      </c>
      <c r="D950" t="s">
        <v>27</v>
      </c>
      <c r="E950" t="s">
        <v>97</v>
      </c>
      <c r="F950" t="s">
        <v>98</v>
      </c>
      <c r="G950" t="s">
        <v>221</v>
      </c>
      <c r="H950" s="6">
        <v>45417</v>
      </c>
      <c r="I950" s="6">
        <v>45429</v>
      </c>
      <c r="J950" s="4">
        <v>648.09</v>
      </c>
      <c r="K950">
        <f t="shared" si="43"/>
        <v>12</v>
      </c>
      <c r="L950">
        <f t="shared" si="42"/>
        <v>34</v>
      </c>
      <c r="M950" t="str">
        <f t="shared" si="44"/>
        <v>Adults</v>
      </c>
    </row>
    <row r="951" spans="1:13" x14ac:dyDescent="0.25">
      <c r="A951" t="s">
        <v>2048</v>
      </c>
      <c r="B951" t="s">
        <v>2049</v>
      </c>
      <c r="C951" s="6">
        <v>23417</v>
      </c>
      <c r="D951" t="s">
        <v>27</v>
      </c>
      <c r="E951" t="s">
        <v>47</v>
      </c>
      <c r="F951" t="s">
        <v>340</v>
      </c>
      <c r="G951" t="s">
        <v>341</v>
      </c>
      <c r="H951" s="6">
        <v>45418</v>
      </c>
      <c r="I951" s="6">
        <v>45446</v>
      </c>
      <c r="J951" s="4">
        <v>6508.91</v>
      </c>
      <c r="K951">
        <f t="shared" si="43"/>
        <v>28</v>
      </c>
      <c r="L951">
        <f t="shared" si="42"/>
        <v>60</v>
      </c>
      <c r="M951" t="str">
        <f t="shared" si="44"/>
        <v>Older Adults</v>
      </c>
    </row>
    <row r="952" spans="1:13" x14ac:dyDescent="0.25">
      <c r="A952" t="s">
        <v>2050</v>
      </c>
      <c r="B952" t="s">
        <v>2051</v>
      </c>
      <c r="C952" s="6">
        <v>11483</v>
      </c>
      <c r="D952" t="s">
        <v>11</v>
      </c>
      <c r="E952" t="s">
        <v>152</v>
      </c>
      <c r="F952" t="s">
        <v>56</v>
      </c>
      <c r="G952" t="s">
        <v>153</v>
      </c>
      <c r="H952" s="6">
        <v>45418</v>
      </c>
      <c r="I952" s="6">
        <v>45431</v>
      </c>
      <c r="J952" s="4">
        <v>13399.84</v>
      </c>
      <c r="K952">
        <f t="shared" si="43"/>
        <v>13</v>
      </c>
      <c r="L952">
        <f t="shared" si="42"/>
        <v>92</v>
      </c>
      <c r="M952" t="str">
        <f t="shared" si="44"/>
        <v>Older Adults</v>
      </c>
    </row>
    <row r="953" spans="1:13" x14ac:dyDescent="0.25">
      <c r="A953" t="s">
        <v>2052</v>
      </c>
      <c r="B953" t="s">
        <v>2053</v>
      </c>
      <c r="C953" s="6">
        <v>24451</v>
      </c>
      <c r="D953" t="s">
        <v>11</v>
      </c>
      <c r="E953" t="s">
        <v>47</v>
      </c>
      <c r="F953" t="s">
        <v>29</v>
      </c>
      <c r="G953" t="s">
        <v>243</v>
      </c>
      <c r="H953" s="6">
        <v>45418</v>
      </c>
      <c r="I953" s="6">
        <v>45420</v>
      </c>
      <c r="J953" s="4">
        <v>3202.45</v>
      </c>
      <c r="K953">
        <f t="shared" si="43"/>
        <v>2</v>
      </c>
      <c r="L953">
        <f t="shared" si="42"/>
        <v>57</v>
      </c>
      <c r="M953" t="str">
        <f t="shared" si="44"/>
        <v>Adults</v>
      </c>
    </row>
    <row r="954" spans="1:13" x14ac:dyDescent="0.25">
      <c r="A954" t="s">
        <v>2054</v>
      </c>
      <c r="B954" t="s">
        <v>2055</v>
      </c>
      <c r="C954" s="6">
        <v>36813</v>
      </c>
      <c r="D954" t="s">
        <v>11</v>
      </c>
      <c r="E954" t="s">
        <v>271</v>
      </c>
      <c r="F954" t="s">
        <v>299</v>
      </c>
      <c r="G954" t="s">
        <v>273</v>
      </c>
      <c r="H954" s="6">
        <v>45422</v>
      </c>
      <c r="I954" s="6">
        <v>45445</v>
      </c>
      <c r="J954" s="4">
        <v>996.39</v>
      </c>
      <c r="K954">
        <f t="shared" si="43"/>
        <v>23</v>
      </c>
      <c r="L954">
        <f t="shared" si="42"/>
        <v>23</v>
      </c>
      <c r="M954" t="str">
        <f t="shared" si="44"/>
        <v>Young Adults</v>
      </c>
    </row>
    <row r="955" spans="1:13" x14ac:dyDescent="0.25">
      <c r="A955" t="s">
        <v>2056</v>
      </c>
      <c r="B955" t="s">
        <v>2057</v>
      </c>
      <c r="C955" s="6">
        <v>39972</v>
      </c>
      <c r="D955" t="s">
        <v>11</v>
      </c>
      <c r="E955" t="s">
        <v>138</v>
      </c>
      <c r="F955" t="s">
        <v>209</v>
      </c>
      <c r="G955" t="s">
        <v>146</v>
      </c>
      <c r="H955" s="6">
        <v>45424</v>
      </c>
      <c r="I955" s="6">
        <v>45451</v>
      </c>
      <c r="J955" s="4">
        <v>2559.7199999999998</v>
      </c>
      <c r="K955">
        <f t="shared" si="43"/>
        <v>27</v>
      </c>
      <c r="L955">
        <f t="shared" si="42"/>
        <v>14</v>
      </c>
      <c r="M955" t="str">
        <f t="shared" si="44"/>
        <v>Children and Adolescent</v>
      </c>
    </row>
    <row r="956" spans="1:13" x14ac:dyDescent="0.25">
      <c r="A956" s="1" t="s">
        <v>2058</v>
      </c>
      <c r="B956" t="s">
        <v>2059</v>
      </c>
      <c r="C956" s="6">
        <v>26772</v>
      </c>
      <c r="D956" t="s">
        <v>27</v>
      </c>
      <c r="E956" t="s">
        <v>33</v>
      </c>
      <c r="F956" t="s">
        <v>13</v>
      </c>
      <c r="G956" t="s">
        <v>35</v>
      </c>
      <c r="H956" s="6">
        <v>45424</v>
      </c>
      <c r="I956" s="6">
        <v>45444</v>
      </c>
      <c r="J956" s="4">
        <v>2788.8</v>
      </c>
      <c r="K956">
        <f t="shared" si="43"/>
        <v>20</v>
      </c>
      <c r="L956">
        <f t="shared" si="42"/>
        <v>51</v>
      </c>
      <c r="M956" t="str">
        <f t="shared" si="44"/>
        <v>Adults</v>
      </c>
    </row>
    <row r="957" spans="1:13" x14ac:dyDescent="0.25">
      <c r="A957" t="s">
        <v>2060</v>
      </c>
      <c r="B957" t="s">
        <v>2061</v>
      </c>
      <c r="C957" s="6">
        <v>20557</v>
      </c>
      <c r="D957" t="s">
        <v>11</v>
      </c>
      <c r="E957" t="s">
        <v>302</v>
      </c>
      <c r="F957" t="s">
        <v>13</v>
      </c>
      <c r="G957" t="s">
        <v>303</v>
      </c>
      <c r="H957" s="6">
        <v>45424</v>
      </c>
      <c r="I957" s="6">
        <v>45441</v>
      </c>
      <c r="J957" s="4">
        <v>11520.63</v>
      </c>
      <c r="K957">
        <f t="shared" si="43"/>
        <v>17</v>
      </c>
      <c r="L957">
        <f t="shared" si="42"/>
        <v>68</v>
      </c>
      <c r="M957" t="str">
        <f t="shared" si="44"/>
        <v>Older Adults</v>
      </c>
    </row>
    <row r="958" spans="1:13" x14ac:dyDescent="0.25">
      <c r="A958" t="s">
        <v>2062</v>
      </c>
      <c r="B958" t="s">
        <v>2063</v>
      </c>
      <c r="C958" s="6">
        <v>30393</v>
      </c>
      <c r="D958" t="s">
        <v>11</v>
      </c>
      <c r="E958" t="s">
        <v>38</v>
      </c>
      <c r="F958" t="s">
        <v>13</v>
      </c>
      <c r="G958" t="s">
        <v>117</v>
      </c>
      <c r="H958" s="6">
        <v>45426</v>
      </c>
      <c r="I958" s="6">
        <v>45451</v>
      </c>
      <c r="J958" s="4">
        <v>4730.26</v>
      </c>
      <c r="K958">
        <f t="shared" si="43"/>
        <v>25</v>
      </c>
      <c r="L958">
        <f t="shared" si="42"/>
        <v>41</v>
      </c>
      <c r="M958" t="str">
        <f t="shared" si="44"/>
        <v>Adults</v>
      </c>
    </row>
    <row r="959" spans="1:13" x14ac:dyDescent="0.25">
      <c r="A959" t="s">
        <v>2064</v>
      </c>
      <c r="B959" t="s">
        <v>2065</v>
      </c>
      <c r="C959" s="6">
        <v>21071</v>
      </c>
      <c r="D959" t="s">
        <v>11</v>
      </c>
      <c r="E959" t="s">
        <v>102</v>
      </c>
      <c r="F959" t="s">
        <v>103</v>
      </c>
      <c r="G959" t="s">
        <v>160</v>
      </c>
      <c r="H959" s="6">
        <v>45427</v>
      </c>
      <c r="I959" s="6">
        <v>45434</v>
      </c>
      <c r="J959" s="4">
        <v>24247.81</v>
      </c>
      <c r="K959">
        <f t="shared" si="43"/>
        <v>7</v>
      </c>
      <c r="L959">
        <f t="shared" si="42"/>
        <v>66</v>
      </c>
      <c r="M959" t="str">
        <f t="shared" si="44"/>
        <v>Older Adults</v>
      </c>
    </row>
    <row r="960" spans="1:13" x14ac:dyDescent="0.25">
      <c r="A960" t="s">
        <v>2066</v>
      </c>
      <c r="B960" t="s">
        <v>2067</v>
      </c>
      <c r="C960" s="6">
        <v>26138</v>
      </c>
      <c r="D960" t="s">
        <v>11</v>
      </c>
      <c r="E960" t="s">
        <v>84</v>
      </c>
      <c r="F960" t="s">
        <v>426</v>
      </c>
      <c r="G960" t="s">
        <v>19</v>
      </c>
      <c r="H960" s="6">
        <v>45428</v>
      </c>
      <c r="I960" s="6">
        <v>45440</v>
      </c>
      <c r="J960" s="4">
        <v>4333.53</v>
      </c>
      <c r="K960">
        <f t="shared" si="43"/>
        <v>12</v>
      </c>
      <c r="L960">
        <f t="shared" si="42"/>
        <v>52</v>
      </c>
      <c r="M960" t="str">
        <f t="shared" si="44"/>
        <v>Adults</v>
      </c>
    </row>
    <row r="961" spans="1:13" x14ac:dyDescent="0.25">
      <c r="A961" t="s">
        <v>2068</v>
      </c>
      <c r="B961" t="s">
        <v>2069</v>
      </c>
      <c r="C961" s="6">
        <v>23900</v>
      </c>
      <c r="D961" t="s">
        <v>11</v>
      </c>
      <c r="E961" t="s">
        <v>47</v>
      </c>
      <c r="F961" t="s">
        <v>188</v>
      </c>
      <c r="G961" t="s">
        <v>48</v>
      </c>
      <c r="H961" s="6">
        <v>45429</v>
      </c>
      <c r="I961" s="6">
        <v>45443</v>
      </c>
      <c r="J961" s="4">
        <v>6565.75</v>
      </c>
      <c r="K961">
        <f t="shared" si="43"/>
        <v>14</v>
      </c>
      <c r="L961">
        <f t="shared" si="42"/>
        <v>58</v>
      </c>
      <c r="M961" t="str">
        <f t="shared" si="44"/>
        <v>Adults</v>
      </c>
    </row>
    <row r="962" spans="1:13" x14ac:dyDescent="0.25">
      <c r="A962" t="s">
        <v>2070</v>
      </c>
      <c r="B962" t="s">
        <v>2071</v>
      </c>
      <c r="C962" s="6">
        <v>32394</v>
      </c>
      <c r="D962" t="s">
        <v>11</v>
      </c>
      <c r="E962" t="s">
        <v>92</v>
      </c>
      <c r="F962" t="s">
        <v>93</v>
      </c>
      <c r="G962" t="s">
        <v>94</v>
      </c>
      <c r="H962" s="6">
        <v>45429</v>
      </c>
      <c r="I962" s="6">
        <v>45453</v>
      </c>
      <c r="J962" s="4">
        <v>2222.89</v>
      </c>
      <c r="K962">
        <f t="shared" si="43"/>
        <v>24</v>
      </c>
      <c r="L962">
        <f t="shared" ref="L962:L1001" si="45">IF(C962&gt;H962,"Invalid DOB",DATEDIF(C962,H962,"Y"))</f>
        <v>35</v>
      </c>
      <c r="M962" t="str">
        <f t="shared" si="44"/>
        <v>Adults</v>
      </c>
    </row>
    <row r="963" spans="1:13" x14ac:dyDescent="0.25">
      <c r="A963" t="s">
        <v>2072</v>
      </c>
      <c r="B963" t="s">
        <v>2073</v>
      </c>
      <c r="C963" s="6">
        <v>11396</v>
      </c>
      <c r="D963" t="s">
        <v>27</v>
      </c>
      <c r="E963" t="s">
        <v>97</v>
      </c>
      <c r="F963" t="s">
        <v>540</v>
      </c>
      <c r="G963" t="s">
        <v>132</v>
      </c>
      <c r="H963" s="6">
        <v>45430</v>
      </c>
      <c r="I963" s="6">
        <v>45455</v>
      </c>
      <c r="J963" s="4">
        <v>808.25</v>
      </c>
      <c r="K963">
        <f t="shared" ref="K963:K1001" si="46">I963-H963</f>
        <v>25</v>
      </c>
      <c r="L963">
        <f t="shared" si="45"/>
        <v>93</v>
      </c>
      <c r="M963" t="str">
        <f t="shared" ref="M963:M1001" si="47">IF(L963="Invalid DOB","Invalid DOB",IF(L963&lt;=4,"Early childhood",IF(L963&lt;=17,"Children and Adolescent",IF(L963&lt;=24,"Young Adults",IF(L963&lt;=59,"Adults","Older Adults")))))</f>
        <v>Older Adults</v>
      </c>
    </row>
    <row r="964" spans="1:13" x14ac:dyDescent="0.25">
      <c r="A964" t="s">
        <v>2074</v>
      </c>
      <c r="B964" t="s">
        <v>2075</v>
      </c>
      <c r="C964" s="6">
        <v>9318</v>
      </c>
      <c r="D964" t="s">
        <v>11</v>
      </c>
      <c r="E964" t="s">
        <v>127</v>
      </c>
      <c r="F964" t="s">
        <v>994</v>
      </c>
      <c r="G964" t="s">
        <v>510</v>
      </c>
      <c r="H964" s="6">
        <v>45431</v>
      </c>
      <c r="I964" s="6">
        <v>45447</v>
      </c>
      <c r="J964" s="4">
        <v>1285.1400000000001</v>
      </c>
      <c r="K964">
        <f t="shared" si="46"/>
        <v>16</v>
      </c>
      <c r="L964">
        <f t="shared" si="45"/>
        <v>98</v>
      </c>
      <c r="M964" t="str">
        <f t="shared" si="47"/>
        <v>Older Adults</v>
      </c>
    </row>
    <row r="965" spans="1:13" x14ac:dyDescent="0.25">
      <c r="A965" t="s">
        <v>2076</v>
      </c>
      <c r="B965" t="s">
        <v>2077</v>
      </c>
      <c r="C965" s="6">
        <v>31314</v>
      </c>
      <c r="D965" t="s">
        <v>11</v>
      </c>
      <c r="E965" t="s">
        <v>178</v>
      </c>
      <c r="F965" t="s">
        <v>182</v>
      </c>
      <c r="G965" t="s">
        <v>157</v>
      </c>
      <c r="H965" s="6">
        <v>45431</v>
      </c>
      <c r="I965" s="6">
        <v>45440</v>
      </c>
      <c r="J965" s="4">
        <v>1072.3800000000001</v>
      </c>
      <c r="K965">
        <f t="shared" si="46"/>
        <v>9</v>
      </c>
      <c r="L965">
        <f t="shared" si="45"/>
        <v>38</v>
      </c>
      <c r="M965" t="str">
        <f t="shared" si="47"/>
        <v>Adults</v>
      </c>
    </row>
    <row r="966" spans="1:13" x14ac:dyDescent="0.25">
      <c r="A966" t="s">
        <v>2078</v>
      </c>
      <c r="B966" t="s">
        <v>2079</v>
      </c>
      <c r="C966" s="6">
        <v>24997</v>
      </c>
      <c r="D966" t="s">
        <v>27</v>
      </c>
      <c r="E966" t="s">
        <v>142</v>
      </c>
      <c r="F966" t="s">
        <v>114</v>
      </c>
      <c r="G966" t="s">
        <v>394</v>
      </c>
      <c r="H966" s="6">
        <v>45433</v>
      </c>
      <c r="I966" s="6">
        <v>45435</v>
      </c>
      <c r="J966" s="4">
        <v>1079.22</v>
      </c>
      <c r="K966">
        <f t="shared" si="46"/>
        <v>2</v>
      </c>
      <c r="L966">
        <f t="shared" si="45"/>
        <v>55</v>
      </c>
      <c r="M966" t="str">
        <f t="shared" si="47"/>
        <v>Adults</v>
      </c>
    </row>
    <row r="967" spans="1:13" x14ac:dyDescent="0.25">
      <c r="A967" t="s">
        <v>2080</v>
      </c>
      <c r="B967" t="s">
        <v>2081</v>
      </c>
      <c r="C967" s="6">
        <v>12303</v>
      </c>
      <c r="D967" t="s">
        <v>11</v>
      </c>
      <c r="E967" t="s">
        <v>152</v>
      </c>
      <c r="F967" t="s">
        <v>56</v>
      </c>
      <c r="G967" t="s">
        <v>153</v>
      </c>
      <c r="H967" s="6">
        <v>45436</v>
      </c>
      <c r="I967" s="6">
        <v>45455</v>
      </c>
      <c r="J967" s="4">
        <v>17072.330000000002</v>
      </c>
      <c r="K967">
        <f t="shared" si="46"/>
        <v>19</v>
      </c>
      <c r="L967">
        <f t="shared" si="45"/>
        <v>90</v>
      </c>
      <c r="M967" t="str">
        <f t="shared" si="47"/>
        <v>Older Adults</v>
      </c>
    </row>
    <row r="968" spans="1:13" x14ac:dyDescent="0.25">
      <c r="A968" t="s">
        <v>2082</v>
      </c>
      <c r="B968" t="s">
        <v>2083</v>
      </c>
      <c r="C968" s="6">
        <v>11369</v>
      </c>
      <c r="D968" t="s">
        <v>11</v>
      </c>
      <c r="E968" t="s">
        <v>97</v>
      </c>
      <c r="F968" t="s">
        <v>98</v>
      </c>
      <c r="G968" t="s">
        <v>221</v>
      </c>
      <c r="H968" s="6">
        <v>45438</v>
      </c>
      <c r="I968" s="6">
        <v>45445</v>
      </c>
      <c r="J968" s="4">
        <v>691.75</v>
      </c>
      <c r="K968">
        <f t="shared" si="46"/>
        <v>7</v>
      </c>
      <c r="L968">
        <f t="shared" si="45"/>
        <v>93</v>
      </c>
      <c r="M968" t="str">
        <f t="shared" si="47"/>
        <v>Older Adults</v>
      </c>
    </row>
    <row r="969" spans="1:13" x14ac:dyDescent="0.25">
      <c r="A969" t="s">
        <v>2084</v>
      </c>
      <c r="B969" t="s">
        <v>2085</v>
      </c>
      <c r="C969" s="6">
        <v>17912</v>
      </c>
      <c r="D969" t="s">
        <v>27</v>
      </c>
      <c r="E969" t="s">
        <v>163</v>
      </c>
      <c r="F969" t="s">
        <v>164</v>
      </c>
      <c r="G969" t="s">
        <v>759</v>
      </c>
      <c r="H969" s="6">
        <v>45440</v>
      </c>
      <c r="I969" s="6">
        <v>45461</v>
      </c>
      <c r="J969" s="4">
        <v>10300.049999999999</v>
      </c>
      <c r="K969">
        <f t="shared" si="46"/>
        <v>21</v>
      </c>
      <c r="L969">
        <f t="shared" si="45"/>
        <v>75</v>
      </c>
      <c r="M969" t="str">
        <f t="shared" si="47"/>
        <v>Older Adults</v>
      </c>
    </row>
    <row r="970" spans="1:13" x14ac:dyDescent="0.25">
      <c r="A970" t="s">
        <v>2086</v>
      </c>
      <c r="B970" t="s">
        <v>2087</v>
      </c>
      <c r="C970" s="6">
        <v>32602</v>
      </c>
      <c r="D970" t="s">
        <v>27</v>
      </c>
      <c r="E970" t="s">
        <v>38</v>
      </c>
      <c r="F970" t="s">
        <v>13</v>
      </c>
      <c r="G970" t="s">
        <v>77</v>
      </c>
      <c r="H970" s="6">
        <v>45441</v>
      </c>
      <c r="I970" s="6">
        <v>45442</v>
      </c>
      <c r="J970" s="4">
        <v>1694.78</v>
      </c>
      <c r="K970">
        <f t="shared" si="46"/>
        <v>1</v>
      </c>
      <c r="L970">
        <f t="shared" si="45"/>
        <v>35</v>
      </c>
      <c r="M970" t="str">
        <f t="shared" si="47"/>
        <v>Adults</v>
      </c>
    </row>
    <row r="971" spans="1:13" x14ac:dyDescent="0.25">
      <c r="A971" t="s">
        <v>2088</v>
      </c>
      <c r="B971" t="s">
        <v>2089</v>
      </c>
      <c r="C971" s="6">
        <v>19093</v>
      </c>
      <c r="D971" t="s">
        <v>27</v>
      </c>
      <c r="E971" t="s">
        <v>152</v>
      </c>
      <c r="F971" t="s">
        <v>13</v>
      </c>
      <c r="G971" t="s">
        <v>153</v>
      </c>
      <c r="H971" s="6">
        <v>45442</v>
      </c>
      <c r="I971" s="6">
        <v>45446</v>
      </c>
      <c r="J971" s="4">
        <v>16340.43</v>
      </c>
      <c r="K971">
        <f t="shared" si="46"/>
        <v>4</v>
      </c>
      <c r="L971">
        <f t="shared" si="45"/>
        <v>72</v>
      </c>
      <c r="M971" t="str">
        <f t="shared" si="47"/>
        <v>Older Adults</v>
      </c>
    </row>
    <row r="972" spans="1:13" x14ac:dyDescent="0.25">
      <c r="A972" t="s">
        <v>2090</v>
      </c>
      <c r="B972" t="s">
        <v>2091</v>
      </c>
      <c r="C972" s="6">
        <v>19439</v>
      </c>
      <c r="D972" t="s">
        <v>11</v>
      </c>
      <c r="E972" t="s">
        <v>55</v>
      </c>
      <c r="F972" t="s">
        <v>56</v>
      </c>
      <c r="G972" t="s">
        <v>57</v>
      </c>
      <c r="H972" s="6">
        <v>45442</v>
      </c>
      <c r="I972" s="6">
        <v>45451</v>
      </c>
      <c r="J972" s="4">
        <v>4714.6899999999996</v>
      </c>
      <c r="K972">
        <f t="shared" si="46"/>
        <v>9</v>
      </c>
      <c r="L972">
        <f t="shared" si="45"/>
        <v>71</v>
      </c>
      <c r="M972" t="str">
        <f t="shared" si="47"/>
        <v>Older Adults</v>
      </c>
    </row>
    <row r="973" spans="1:13" x14ac:dyDescent="0.25">
      <c r="A973" t="s">
        <v>2092</v>
      </c>
      <c r="B973" t="s">
        <v>2093</v>
      </c>
      <c r="C973" s="6">
        <v>10519</v>
      </c>
      <c r="D973" t="s">
        <v>27</v>
      </c>
      <c r="E973" t="s">
        <v>12</v>
      </c>
      <c r="F973" t="s">
        <v>172</v>
      </c>
      <c r="G973" t="s">
        <v>173</v>
      </c>
      <c r="H973" s="6">
        <v>45443</v>
      </c>
      <c r="I973" s="6">
        <v>45473</v>
      </c>
      <c r="J973" s="4">
        <v>7997.64</v>
      </c>
      <c r="K973">
        <f t="shared" si="46"/>
        <v>30</v>
      </c>
      <c r="L973">
        <f t="shared" si="45"/>
        <v>95</v>
      </c>
      <c r="M973" t="str">
        <f t="shared" si="47"/>
        <v>Older Adults</v>
      </c>
    </row>
    <row r="974" spans="1:13" x14ac:dyDescent="0.25">
      <c r="A974" t="s">
        <v>2094</v>
      </c>
      <c r="B974" t="s">
        <v>2095</v>
      </c>
      <c r="C974" s="6">
        <v>10784</v>
      </c>
      <c r="D974" t="s">
        <v>11</v>
      </c>
      <c r="E974" t="s">
        <v>28</v>
      </c>
      <c r="F974" t="s">
        <v>29</v>
      </c>
      <c r="G974" t="s">
        <v>124</v>
      </c>
      <c r="H974" s="6">
        <v>45445</v>
      </c>
      <c r="I974" s="6">
        <v>45459</v>
      </c>
      <c r="J974" s="4">
        <v>19789.55</v>
      </c>
      <c r="K974">
        <f t="shared" si="46"/>
        <v>14</v>
      </c>
      <c r="L974">
        <f t="shared" si="45"/>
        <v>94</v>
      </c>
      <c r="M974" t="str">
        <f t="shared" si="47"/>
        <v>Older Adults</v>
      </c>
    </row>
    <row r="975" spans="1:13" x14ac:dyDescent="0.25">
      <c r="A975" t="s">
        <v>2096</v>
      </c>
      <c r="B975" t="s">
        <v>2097</v>
      </c>
      <c r="C975" s="6">
        <v>25098</v>
      </c>
      <c r="D975" t="s">
        <v>27</v>
      </c>
      <c r="E975" t="s">
        <v>33</v>
      </c>
      <c r="F975" t="s">
        <v>13</v>
      </c>
      <c r="G975" t="s">
        <v>378</v>
      </c>
      <c r="H975" s="6">
        <v>45446</v>
      </c>
      <c r="I975" s="6">
        <v>45454</v>
      </c>
      <c r="J975" s="4">
        <v>1936.38</v>
      </c>
      <c r="K975">
        <f t="shared" si="46"/>
        <v>8</v>
      </c>
      <c r="L975">
        <f t="shared" si="45"/>
        <v>55</v>
      </c>
      <c r="M975" t="str">
        <f t="shared" si="47"/>
        <v>Adults</v>
      </c>
    </row>
    <row r="976" spans="1:13" x14ac:dyDescent="0.25">
      <c r="A976" t="s">
        <v>2098</v>
      </c>
      <c r="B976" t="s">
        <v>2099</v>
      </c>
      <c r="C976" s="6">
        <v>26191</v>
      </c>
      <c r="D976" t="s">
        <v>11</v>
      </c>
      <c r="E976" t="s">
        <v>38</v>
      </c>
      <c r="F976" t="s">
        <v>39</v>
      </c>
      <c r="G976" t="s">
        <v>117</v>
      </c>
      <c r="H976" s="6">
        <v>45446</v>
      </c>
      <c r="I976" s="6">
        <v>45468</v>
      </c>
      <c r="J976" s="4">
        <v>1353.49</v>
      </c>
      <c r="K976">
        <f t="shared" si="46"/>
        <v>22</v>
      </c>
      <c r="L976">
        <f t="shared" si="45"/>
        <v>52</v>
      </c>
      <c r="M976" t="str">
        <f t="shared" si="47"/>
        <v>Adults</v>
      </c>
    </row>
    <row r="977" spans="1:13" x14ac:dyDescent="0.25">
      <c r="A977" t="s">
        <v>2100</v>
      </c>
      <c r="B977" t="s">
        <v>2101</v>
      </c>
      <c r="C977" s="6">
        <v>29718</v>
      </c>
      <c r="D977" t="s">
        <v>27</v>
      </c>
      <c r="E977" t="s">
        <v>80</v>
      </c>
      <c r="F977" t="s">
        <v>29</v>
      </c>
      <c r="G977" t="s">
        <v>81</v>
      </c>
      <c r="H977" s="6">
        <v>45449</v>
      </c>
      <c r="I977" s="6">
        <v>45453</v>
      </c>
      <c r="J977" s="4">
        <v>10302.26</v>
      </c>
      <c r="K977">
        <f t="shared" si="46"/>
        <v>4</v>
      </c>
      <c r="L977">
        <f t="shared" si="45"/>
        <v>43</v>
      </c>
      <c r="M977" t="str">
        <f t="shared" si="47"/>
        <v>Adults</v>
      </c>
    </row>
    <row r="978" spans="1:13" x14ac:dyDescent="0.25">
      <c r="A978" t="s">
        <v>2102</v>
      </c>
      <c r="B978" t="s">
        <v>2103</v>
      </c>
      <c r="C978" s="6">
        <v>25293</v>
      </c>
      <c r="D978" t="s">
        <v>27</v>
      </c>
      <c r="E978" t="s">
        <v>163</v>
      </c>
      <c r="F978" t="s">
        <v>13</v>
      </c>
      <c r="G978" t="s">
        <v>165</v>
      </c>
      <c r="H978" s="6">
        <v>45451</v>
      </c>
      <c r="I978" s="6">
        <v>45454</v>
      </c>
      <c r="J978" s="4">
        <v>16456.7</v>
      </c>
      <c r="K978">
        <f t="shared" si="46"/>
        <v>3</v>
      </c>
      <c r="L978">
        <f t="shared" si="45"/>
        <v>55</v>
      </c>
      <c r="M978" t="str">
        <f t="shared" si="47"/>
        <v>Adults</v>
      </c>
    </row>
    <row r="979" spans="1:13" x14ac:dyDescent="0.25">
      <c r="A979" t="s">
        <v>2104</v>
      </c>
      <c r="B979" t="s">
        <v>2105</v>
      </c>
      <c r="C979" s="6">
        <v>32047</v>
      </c>
      <c r="D979" t="s">
        <v>11</v>
      </c>
      <c r="E979" t="s">
        <v>60</v>
      </c>
      <c r="F979" t="s">
        <v>188</v>
      </c>
      <c r="G979" t="s">
        <v>149</v>
      </c>
      <c r="H979" s="6">
        <v>45451</v>
      </c>
      <c r="I979" s="6">
        <v>45471</v>
      </c>
      <c r="J979" s="4">
        <v>67424.22</v>
      </c>
      <c r="K979">
        <f t="shared" si="46"/>
        <v>20</v>
      </c>
      <c r="L979">
        <f t="shared" si="45"/>
        <v>36</v>
      </c>
      <c r="M979" t="str">
        <f t="shared" si="47"/>
        <v>Adults</v>
      </c>
    </row>
    <row r="980" spans="1:13" x14ac:dyDescent="0.25">
      <c r="A980" t="s">
        <v>2106</v>
      </c>
      <c r="B980" t="s">
        <v>2107</v>
      </c>
      <c r="C980" s="6">
        <v>32773</v>
      </c>
      <c r="D980" t="s">
        <v>27</v>
      </c>
      <c r="E980" t="s">
        <v>47</v>
      </c>
      <c r="F980" t="s">
        <v>29</v>
      </c>
      <c r="G980" t="s">
        <v>48</v>
      </c>
      <c r="H980" s="6">
        <v>45454</v>
      </c>
      <c r="I980" s="6">
        <v>45480</v>
      </c>
      <c r="J980" s="4">
        <v>4649.8999999999996</v>
      </c>
      <c r="K980">
        <f t="shared" si="46"/>
        <v>26</v>
      </c>
      <c r="L980">
        <f t="shared" si="45"/>
        <v>34</v>
      </c>
      <c r="M980" t="str">
        <f t="shared" si="47"/>
        <v>Adults</v>
      </c>
    </row>
    <row r="981" spans="1:13" x14ac:dyDescent="0.25">
      <c r="A981" t="s">
        <v>2108</v>
      </c>
      <c r="B981" t="s">
        <v>2109</v>
      </c>
      <c r="C981" s="6">
        <v>31769</v>
      </c>
      <c r="D981" t="s">
        <v>11</v>
      </c>
      <c r="E981" t="s">
        <v>138</v>
      </c>
      <c r="F981" t="s">
        <v>209</v>
      </c>
      <c r="G981" t="s">
        <v>143</v>
      </c>
      <c r="H981" s="6">
        <v>45455</v>
      </c>
      <c r="I981" s="6">
        <v>45472</v>
      </c>
      <c r="J981" s="4">
        <v>1253.78</v>
      </c>
      <c r="K981">
        <f t="shared" si="46"/>
        <v>17</v>
      </c>
      <c r="L981">
        <f t="shared" si="45"/>
        <v>37</v>
      </c>
      <c r="M981" t="str">
        <f t="shared" si="47"/>
        <v>Adults</v>
      </c>
    </row>
    <row r="982" spans="1:13" x14ac:dyDescent="0.25">
      <c r="A982" t="s">
        <v>2110</v>
      </c>
      <c r="B982" t="s">
        <v>2111</v>
      </c>
      <c r="C982" s="6">
        <v>37235</v>
      </c>
      <c r="D982" t="s">
        <v>27</v>
      </c>
      <c r="E982" t="s">
        <v>163</v>
      </c>
      <c r="F982" t="s">
        <v>13</v>
      </c>
      <c r="G982" t="s">
        <v>759</v>
      </c>
      <c r="H982" s="6">
        <v>45456</v>
      </c>
      <c r="I982" s="6">
        <v>45465</v>
      </c>
      <c r="J982" s="4">
        <v>45674.34</v>
      </c>
      <c r="K982">
        <f t="shared" si="46"/>
        <v>9</v>
      </c>
      <c r="L982">
        <f t="shared" si="45"/>
        <v>22</v>
      </c>
      <c r="M982" t="str">
        <f t="shared" si="47"/>
        <v>Young Adults</v>
      </c>
    </row>
    <row r="983" spans="1:13" x14ac:dyDescent="0.25">
      <c r="A983" t="s">
        <v>2112</v>
      </c>
      <c r="B983" t="s">
        <v>2113</v>
      </c>
      <c r="C983" s="6">
        <v>44187</v>
      </c>
      <c r="D983" t="s">
        <v>27</v>
      </c>
      <c r="E983" t="s">
        <v>142</v>
      </c>
      <c r="F983" t="s">
        <v>114</v>
      </c>
      <c r="G983" t="s">
        <v>394</v>
      </c>
      <c r="H983" s="6">
        <v>45456</v>
      </c>
      <c r="I983" s="6">
        <v>45479</v>
      </c>
      <c r="J983" s="4">
        <v>539.84</v>
      </c>
      <c r="K983">
        <f t="shared" si="46"/>
        <v>23</v>
      </c>
      <c r="L983">
        <f t="shared" si="45"/>
        <v>3</v>
      </c>
      <c r="M983" t="str">
        <f t="shared" si="47"/>
        <v>Early childhood</v>
      </c>
    </row>
    <row r="984" spans="1:13" x14ac:dyDescent="0.25">
      <c r="A984" t="s">
        <v>2114</v>
      </c>
      <c r="B984" t="s">
        <v>2115</v>
      </c>
      <c r="C984" s="6">
        <v>41228</v>
      </c>
      <c r="D984" t="s">
        <v>27</v>
      </c>
      <c r="E984" t="s">
        <v>142</v>
      </c>
      <c r="F984" t="s">
        <v>114</v>
      </c>
      <c r="G984" t="s">
        <v>285</v>
      </c>
      <c r="H984" s="6">
        <v>45458</v>
      </c>
      <c r="I984" s="6">
        <v>45459</v>
      </c>
      <c r="J984" s="4">
        <v>513.84</v>
      </c>
      <c r="K984">
        <f t="shared" si="46"/>
        <v>1</v>
      </c>
      <c r="L984">
        <f t="shared" si="45"/>
        <v>11</v>
      </c>
      <c r="M984" t="str">
        <f t="shared" si="47"/>
        <v>Children and Adolescent</v>
      </c>
    </row>
    <row r="985" spans="1:13" x14ac:dyDescent="0.25">
      <c r="A985" t="s">
        <v>2116</v>
      </c>
      <c r="B985" t="s">
        <v>2117</v>
      </c>
      <c r="C985" s="6">
        <v>10971</v>
      </c>
      <c r="D985" t="s">
        <v>11</v>
      </c>
      <c r="E985" t="s">
        <v>97</v>
      </c>
      <c r="F985" t="s">
        <v>540</v>
      </c>
      <c r="G985" t="s">
        <v>99</v>
      </c>
      <c r="H985" s="6">
        <v>45459</v>
      </c>
      <c r="I985" s="6">
        <v>45489</v>
      </c>
      <c r="J985" s="4">
        <v>435.53</v>
      </c>
      <c r="K985">
        <f t="shared" si="46"/>
        <v>30</v>
      </c>
      <c r="L985">
        <f t="shared" si="45"/>
        <v>94</v>
      </c>
      <c r="M985" t="str">
        <f t="shared" si="47"/>
        <v>Older Adults</v>
      </c>
    </row>
    <row r="986" spans="1:13" x14ac:dyDescent="0.25">
      <c r="A986" t="s">
        <v>2118</v>
      </c>
      <c r="B986" t="s">
        <v>2119</v>
      </c>
      <c r="C986" s="6">
        <v>19384</v>
      </c>
      <c r="D986" t="s">
        <v>27</v>
      </c>
      <c r="E986" t="s">
        <v>163</v>
      </c>
      <c r="F986" t="s">
        <v>164</v>
      </c>
      <c r="G986" t="s">
        <v>233</v>
      </c>
      <c r="H986" s="6">
        <v>45461</v>
      </c>
      <c r="I986" s="6">
        <v>45479</v>
      </c>
      <c r="J986" s="4">
        <v>21550.7</v>
      </c>
      <c r="K986">
        <f t="shared" si="46"/>
        <v>18</v>
      </c>
      <c r="L986">
        <f t="shared" si="45"/>
        <v>71</v>
      </c>
      <c r="M986" t="str">
        <f t="shared" si="47"/>
        <v>Older Adults</v>
      </c>
    </row>
    <row r="987" spans="1:13" x14ac:dyDescent="0.25">
      <c r="A987" t="s">
        <v>2120</v>
      </c>
      <c r="B987" t="s">
        <v>2121</v>
      </c>
      <c r="C987" s="6">
        <v>35201</v>
      </c>
      <c r="D987" t="s">
        <v>11</v>
      </c>
      <c r="E987" t="s">
        <v>302</v>
      </c>
      <c r="F987" t="s">
        <v>29</v>
      </c>
      <c r="G987" t="s">
        <v>303</v>
      </c>
      <c r="H987" s="6">
        <v>45462</v>
      </c>
      <c r="I987" s="6">
        <v>45482</v>
      </c>
      <c r="J987" s="4">
        <v>9214.65</v>
      </c>
      <c r="K987">
        <f t="shared" si="46"/>
        <v>20</v>
      </c>
      <c r="L987">
        <f t="shared" si="45"/>
        <v>28</v>
      </c>
      <c r="M987" t="str">
        <f t="shared" si="47"/>
        <v>Adults</v>
      </c>
    </row>
    <row r="988" spans="1:13" x14ac:dyDescent="0.25">
      <c r="A988" t="s">
        <v>2122</v>
      </c>
      <c r="B988" t="s">
        <v>2123</v>
      </c>
      <c r="C988" s="6">
        <v>23143</v>
      </c>
      <c r="D988" t="s">
        <v>27</v>
      </c>
      <c r="E988" t="s">
        <v>142</v>
      </c>
      <c r="F988" t="s">
        <v>114</v>
      </c>
      <c r="G988" t="s">
        <v>285</v>
      </c>
      <c r="H988" s="6">
        <v>45463</v>
      </c>
      <c r="I988" s="6">
        <v>45474</v>
      </c>
      <c r="J988" s="4">
        <v>1172.72</v>
      </c>
      <c r="K988">
        <f t="shared" si="46"/>
        <v>11</v>
      </c>
      <c r="L988">
        <f t="shared" si="45"/>
        <v>61</v>
      </c>
      <c r="M988" t="str">
        <f t="shared" si="47"/>
        <v>Older Adults</v>
      </c>
    </row>
    <row r="989" spans="1:13" x14ac:dyDescent="0.25">
      <c r="A989" t="s">
        <v>2124</v>
      </c>
      <c r="B989" t="s">
        <v>2125</v>
      </c>
      <c r="C989" s="6">
        <v>33046</v>
      </c>
      <c r="D989" t="s">
        <v>27</v>
      </c>
      <c r="E989" t="s">
        <v>55</v>
      </c>
      <c r="F989" t="s">
        <v>217</v>
      </c>
      <c r="G989" t="s">
        <v>57</v>
      </c>
      <c r="H989" s="6">
        <v>45466</v>
      </c>
      <c r="I989" s="6">
        <v>45492</v>
      </c>
      <c r="J989" s="4">
        <v>4855.51</v>
      </c>
      <c r="K989">
        <f t="shared" si="46"/>
        <v>26</v>
      </c>
      <c r="L989">
        <f t="shared" si="45"/>
        <v>34</v>
      </c>
      <c r="M989" t="str">
        <f t="shared" si="47"/>
        <v>Adults</v>
      </c>
    </row>
    <row r="990" spans="1:13" x14ac:dyDescent="0.25">
      <c r="A990" t="s">
        <v>2126</v>
      </c>
      <c r="B990" t="s">
        <v>2127</v>
      </c>
      <c r="C990" s="6">
        <v>10828</v>
      </c>
      <c r="D990" t="s">
        <v>27</v>
      </c>
      <c r="E990" t="s">
        <v>55</v>
      </c>
      <c r="F990" t="s">
        <v>56</v>
      </c>
      <c r="G990" t="s">
        <v>228</v>
      </c>
      <c r="H990" s="6">
        <v>45467</v>
      </c>
      <c r="I990" s="6">
        <v>45471</v>
      </c>
      <c r="J990" s="4">
        <v>3618.68</v>
      </c>
      <c r="K990">
        <f t="shared" si="46"/>
        <v>4</v>
      </c>
      <c r="L990">
        <f t="shared" si="45"/>
        <v>94</v>
      </c>
      <c r="M990" t="str">
        <f t="shared" si="47"/>
        <v>Older Adults</v>
      </c>
    </row>
    <row r="991" spans="1:13" x14ac:dyDescent="0.25">
      <c r="A991" t="s">
        <v>2128</v>
      </c>
      <c r="B991" t="s">
        <v>2129</v>
      </c>
      <c r="C991" s="6">
        <v>34063</v>
      </c>
      <c r="D991" t="s">
        <v>11</v>
      </c>
      <c r="E991" t="s">
        <v>152</v>
      </c>
      <c r="F991" t="s">
        <v>56</v>
      </c>
      <c r="G991" t="s">
        <v>214</v>
      </c>
      <c r="H991" s="6">
        <v>45468</v>
      </c>
      <c r="I991" s="6">
        <v>45483</v>
      </c>
      <c r="J991" s="4">
        <v>14298.62</v>
      </c>
      <c r="K991">
        <f t="shared" si="46"/>
        <v>15</v>
      </c>
      <c r="L991">
        <f t="shared" si="45"/>
        <v>31</v>
      </c>
      <c r="M991" t="str">
        <f t="shared" si="47"/>
        <v>Adults</v>
      </c>
    </row>
    <row r="992" spans="1:13" x14ac:dyDescent="0.25">
      <c r="A992" t="s">
        <v>2130</v>
      </c>
      <c r="B992" t="s">
        <v>2131</v>
      </c>
      <c r="C992" s="6">
        <v>39095</v>
      </c>
      <c r="D992" t="s">
        <v>11</v>
      </c>
      <c r="E992" t="s">
        <v>84</v>
      </c>
      <c r="F992" t="s">
        <v>85</v>
      </c>
      <c r="G992" t="s">
        <v>254</v>
      </c>
      <c r="H992" s="6">
        <v>45468</v>
      </c>
      <c r="I992" s="6">
        <v>45475</v>
      </c>
      <c r="J992" s="4">
        <v>4025.97</v>
      </c>
      <c r="K992">
        <f t="shared" si="46"/>
        <v>7</v>
      </c>
      <c r="L992">
        <f t="shared" si="45"/>
        <v>17</v>
      </c>
      <c r="M992" t="str">
        <f t="shared" si="47"/>
        <v>Children and Adolescent</v>
      </c>
    </row>
    <row r="993" spans="1:13" x14ac:dyDescent="0.25">
      <c r="A993" t="s">
        <v>2132</v>
      </c>
      <c r="B993" t="s">
        <v>2133</v>
      </c>
      <c r="C993" s="6">
        <v>15844</v>
      </c>
      <c r="D993" t="s">
        <v>27</v>
      </c>
      <c r="E993" t="s">
        <v>47</v>
      </c>
      <c r="F993" t="s">
        <v>29</v>
      </c>
      <c r="G993" t="s">
        <v>341</v>
      </c>
      <c r="H993" s="6">
        <v>45473</v>
      </c>
      <c r="I993" s="6">
        <v>45494</v>
      </c>
      <c r="J993" s="4">
        <v>7315.9</v>
      </c>
      <c r="K993">
        <f t="shared" si="46"/>
        <v>21</v>
      </c>
      <c r="L993">
        <f t="shared" si="45"/>
        <v>81</v>
      </c>
      <c r="M993" t="str">
        <f t="shared" si="47"/>
        <v>Older Adults</v>
      </c>
    </row>
    <row r="994" spans="1:13" x14ac:dyDescent="0.25">
      <c r="A994" t="s">
        <v>2134</v>
      </c>
      <c r="B994" t="s">
        <v>2135</v>
      </c>
      <c r="C994" s="6">
        <v>17017</v>
      </c>
      <c r="D994" t="s">
        <v>11</v>
      </c>
      <c r="E994" t="s">
        <v>47</v>
      </c>
      <c r="F994" t="s">
        <v>29</v>
      </c>
      <c r="G994" t="s">
        <v>48</v>
      </c>
      <c r="H994" s="6">
        <v>45474</v>
      </c>
      <c r="I994" s="6">
        <v>45488</v>
      </c>
      <c r="J994" s="4">
        <v>9715.33</v>
      </c>
      <c r="K994">
        <f t="shared" si="46"/>
        <v>14</v>
      </c>
      <c r="L994">
        <f t="shared" si="45"/>
        <v>77</v>
      </c>
      <c r="M994" t="str">
        <f t="shared" si="47"/>
        <v>Older Adults</v>
      </c>
    </row>
    <row r="995" spans="1:13" x14ac:dyDescent="0.25">
      <c r="A995" t="s">
        <v>2136</v>
      </c>
      <c r="B995" t="s">
        <v>2137</v>
      </c>
      <c r="C995" s="6">
        <v>34876</v>
      </c>
      <c r="D995" t="s">
        <v>27</v>
      </c>
      <c r="E995" t="s">
        <v>47</v>
      </c>
      <c r="F995" t="s">
        <v>340</v>
      </c>
      <c r="G995" t="s">
        <v>341</v>
      </c>
      <c r="H995" s="6">
        <v>45475</v>
      </c>
      <c r="I995" s="6">
        <v>45495</v>
      </c>
      <c r="J995" s="4">
        <v>8588.94</v>
      </c>
      <c r="K995">
        <f t="shared" si="46"/>
        <v>20</v>
      </c>
      <c r="L995">
        <f t="shared" si="45"/>
        <v>29</v>
      </c>
      <c r="M995" t="str">
        <f t="shared" si="47"/>
        <v>Adults</v>
      </c>
    </row>
    <row r="996" spans="1:13" x14ac:dyDescent="0.25">
      <c r="A996" t="s">
        <v>2138</v>
      </c>
      <c r="B996" t="s">
        <v>2139</v>
      </c>
      <c r="C996" s="6">
        <v>35188</v>
      </c>
      <c r="D996" t="s">
        <v>27</v>
      </c>
      <c r="E996" t="s">
        <v>102</v>
      </c>
      <c r="F996" t="s">
        <v>172</v>
      </c>
      <c r="G996" t="s">
        <v>529</v>
      </c>
      <c r="H996" s="6">
        <v>45476</v>
      </c>
      <c r="I996" s="6">
        <v>45489</v>
      </c>
      <c r="J996" s="4">
        <v>11302.16</v>
      </c>
      <c r="K996">
        <f t="shared" si="46"/>
        <v>13</v>
      </c>
      <c r="L996">
        <f t="shared" si="45"/>
        <v>28</v>
      </c>
      <c r="M996" t="str">
        <f t="shared" si="47"/>
        <v>Adults</v>
      </c>
    </row>
    <row r="997" spans="1:13" x14ac:dyDescent="0.25">
      <c r="A997" t="s">
        <v>2140</v>
      </c>
      <c r="B997" t="s">
        <v>2141</v>
      </c>
      <c r="C997" s="6">
        <v>35522</v>
      </c>
      <c r="D997" t="s">
        <v>27</v>
      </c>
      <c r="E997" t="s">
        <v>127</v>
      </c>
      <c r="F997" t="s">
        <v>509</v>
      </c>
      <c r="G997" t="s">
        <v>24</v>
      </c>
      <c r="H997" s="6">
        <v>45477</v>
      </c>
      <c r="I997" s="6">
        <v>45483</v>
      </c>
      <c r="J997" s="4">
        <v>2957.6</v>
      </c>
      <c r="K997">
        <f t="shared" si="46"/>
        <v>6</v>
      </c>
      <c r="L997">
        <f t="shared" si="45"/>
        <v>27</v>
      </c>
      <c r="M997" t="str">
        <f t="shared" si="47"/>
        <v>Adults</v>
      </c>
    </row>
    <row r="998" spans="1:13" x14ac:dyDescent="0.25">
      <c r="A998" t="s">
        <v>2142</v>
      </c>
      <c r="B998" t="s">
        <v>2143</v>
      </c>
      <c r="C998" s="6">
        <v>44063</v>
      </c>
      <c r="D998" t="s">
        <v>11</v>
      </c>
      <c r="E998" t="s">
        <v>152</v>
      </c>
      <c r="F998" t="s">
        <v>13</v>
      </c>
      <c r="G998" t="s">
        <v>153</v>
      </c>
      <c r="H998" s="6">
        <v>45477</v>
      </c>
      <c r="I998" s="6">
        <v>45503</v>
      </c>
      <c r="J998" s="4">
        <v>9377.07</v>
      </c>
      <c r="K998">
        <f t="shared" si="46"/>
        <v>26</v>
      </c>
      <c r="L998">
        <f t="shared" si="45"/>
        <v>3</v>
      </c>
      <c r="M998" t="str">
        <f t="shared" si="47"/>
        <v>Early childhood</v>
      </c>
    </row>
    <row r="999" spans="1:13" x14ac:dyDescent="0.25">
      <c r="A999" t="s">
        <v>2144</v>
      </c>
      <c r="B999" t="s">
        <v>2145</v>
      </c>
      <c r="C999" s="6">
        <v>8966</v>
      </c>
      <c r="D999" t="s">
        <v>11</v>
      </c>
      <c r="E999" t="s">
        <v>80</v>
      </c>
      <c r="F999" t="s">
        <v>29</v>
      </c>
      <c r="G999" t="s">
        <v>578</v>
      </c>
      <c r="H999" s="6">
        <v>45478</v>
      </c>
      <c r="I999" s="6">
        <v>45502</v>
      </c>
      <c r="J999" s="4">
        <v>15288.56</v>
      </c>
      <c r="K999">
        <f t="shared" si="46"/>
        <v>24</v>
      </c>
      <c r="L999">
        <f t="shared" si="45"/>
        <v>99</v>
      </c>
      <c r="M999" t="str">
        <f t="shared" si="47"/>
        <v>Older Adults</v>
      </c>
    </row>
    <row r="1000" spans="1:13" x14ac:dyDescent="0.25">
      <c r="A1000" t="s">
        <v>2146</v>
      </c>
      <c r="B1000" t="s">
        <v>2147</v>
      </c>
      <c r="C1000" s="6">
        <v>33211</v>
      </c>
      <c r="D1000" t="s">
        <v>11</v>
      </c>
      <c r="E1000" t="s">
        <v>127</v>
      </c>
      <c r="F1000" t="s">
        <v>509</v>
      </c>
      <c r="G1000" t="s">
        <v>510</v>
      </c>
      <c r="H1000" s="6">
        <v>45481</v>
      </c>
      <c r="I1000" s="6">
        <v>45507</v>
      </c>
      <c r="J1000" s="4">
        <v>806.04</v>
      </c>
      <c r="K1000">
        <f t="shared" si="46"/>
        <v>26</v>
      </c>
      <c r="L1000">
        <f t="shared" si="45"/>
        <v>33</v>
      </c>
      <c r="M1000" t="str">
        <f t="shared" si="47"/>
        <v>Adults</v>
      </c>
    </row>
    <row r="1001" spans="1:13" x14ac:dyDescent="0.25">
      <c r="A1001" t="s">
        <v>2148</v>
      </c>
      <c r="B1001" t="s">
        <v>2149</v>
      </c>
      <c r="C1001" s="6">
        <v>27893</v>
      </c>
      <c r="D1001" t="s">
        <v>11</v>
      </c>
      <c r="E1001" t="s">
        <v>152</v>
      </c>
      <c r="F1001" t="s">
        <v>56</v>
      </c>
      <c r="G1001" t="s">
        <v>214</v>
      </c>
      <c r="H1001" s="6">
        <v>45484</v>
      </c>
      <c r="I1001" s="6">
        <v>45487</v>
      </c>
      <c r="J1001" s="4">
        <v>13202.03</v>
      </c>
      <c r="K1001">
        <f t="shared" si="46"/>
        <v>3</v>
      </c>
      <c r="L1001">
        <f t="shared" si="45"/>
        <v>48</v>
      </c>
      <c r="M1001" t="str">
        <f t="shared" si="47"/>
        <v>Adults</v>
      </c>
    </row>
  </sheetData>
  <autoFilter ref="A1:M1001" xr:uid="{00000000-0001-0000-01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Monarch</dc:creator>
  <cp:lastModifiedBy>Monarch</cp:lastModifiedBy>
  <dcterms:created xsi:type="dcterms:W3CDTF">2026-09-17T11:26:25Z</dcterms:created>
  <dcterms:modified xsi:type="dcterms:W3CDTF">2026-10-06T07:05:23Z</dcterms:modified>
</cp:coreProperties>
</file>